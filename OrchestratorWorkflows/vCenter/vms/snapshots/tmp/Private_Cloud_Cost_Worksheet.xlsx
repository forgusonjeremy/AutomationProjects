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Reference Template" sheetId="2" state="visible" r:id="rId4"/>
    <sheet name="All Datacenters" sheetId="3" state="visible" r:id="rId5"/>
    <sheet name="Datacenter-1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<sst xmlns="http://schemas.openxmlformats.org/spreadsheetml/2006/main" count="759" uniqueCount="246">
  <si>
    <t xml:space="preserve">Private Cloud Cost Information Gathering Worksheet</t>
  </si>
  <si>
    <t xml:space="preserve">Input template for VMware Aria Operations / Cloud Economics cost modeling</t>
  </si>
  <si>
    <t xml:space="preserve">PURPOSE</t>
  </si>
  <si>
    <t xml:space="preserve">This worksheet captures the monthly infrastructure cost data required to produce an accurate private-cloud cost model. Each section aligns to a cost driver (Server Hardware, Storage, License, Applications, Maintenance, Labor, Network, Facilities, Additional Cost). Complete every applicable section; leave items that do not apply to your environment blank.</t>
  </si>
  <si>
    <t xml:space="preserve">HOW TO USE THIS WORKBOOK</t>
  </si>
  <si>
    <t xml:space="preserve">Step 1 — Pick your scope</t>
  </si>
  <si>
    <t xml:space="preserve">Decide how you will enter data. Option A: treat every datacenter as one aggregate entity and enter unified costs on the 'All Datacenters' tab (fastest). Option B: capture each datacenter separately by copying the 'Reference Template' tab once per site.</t>
  </si>
  <si>
    <t xml:space="preserve">Step 2 — Copy the template (Option B only)</t>
  </si>
  <si>
    <t xml:space="preserve">Right-click the 'Reference Template' tab → 'Move or Copy' → check 'Create a copy' → rename the new tab to the datacenter name (e.g., 'DC-Ashburn', 'DC-Denver'). A pre-built 'Datacenter-1' tab is included as an example.</t>
  </si>
  <si>
    <t xml:space="preserve">Step 3 — Choose a data-entry method per section</t>
  </si>
  <si>
    <t xml:space="preserve">Every cost driver offers a fast 'Aggregate/Average' method and a detailed 'Granular' method. Select ONE method per section using the dropdown; only fill in the matching input block.</t>
  </si>
  <si>
    <t xml:space="preserve">Step 4 — Enter data in the yellow cells only</t>
  </si>
  <si>
    <t xml:space="preserve">Yellow cells are inputs. Black cells contain formulas and will calculate automatically. Do not type over black cells.</t>
  </si>
  <si>
    <t xml:space="preserve">Step 5 — Review the Summary tab</t>
  </si>
  <si>
    <t xml:space="preserve">The Summary tab rolls up totals across all datacenter tabs. Verify totals match your expectations before returning the workbook.</t>
  </si>
  <si>
    <t xml:space="preserve">CELL COLOR LEGEND</t>
  </si>
  <si>
    <t xml:space="preserve">Yellow + Blue text</t>
  </si>
  <si>
    <t xml:space="preserve">Input cell — type your value here</t>
  </si>
  <si>
    <t xml:space="preserve">White + Black text</t>
  </si>
  <si>
    <t xml:space="preserve">Formula — calculated automatically, do not edit</t>
  </si>
  <si>
    <t xml:space="preserve">White + Green text</t>
  </si>
  <si>
    <t xml:space="preserve">Cross-sheet link — pulls from another tab</t>
  </si>
  <si>
    <t xml:space="preserve">Green</t>
  </si>
  <si>
    <t xml:space="preserve">Method selector — choose ONE option per section</t>
  </si>
  <si>
    <t xml:space="preserve">Light orange</t>
  </si>
  <si>
    <t xml:space="preserve">Guidance / note — not a data entry field</t>
  </si>
  <si>
    <t xml:space="preserve">ALL DATACENTERS vs. PER-DATACENTER — WHICH TO USE?</t>
  </si>
  <si>
    <t xml:space="preserve">Use ALL DATACENTERS if…</t>
  </si>
  <si>
    <t xml:space="preserve">Use PER-DATACENTER if…</t>
  </si>
  <si>
    <t xml:space="preserve">• Costs are contracted/budgeted centrally and not broken out by site
• Sites are similar in size, hardware, and role
• You need a fast first-pass estimate
• You do not need site-level chargeback</t>
  </si>
  <si>
    <t xml:space="preserve">• Sites have materially different hardware, labor rates, or facilities costs
• You need site-level reporting or chargeback
• Datacenters are in different geographies (power, labor, real estate differ)
• Auditors/stakeholders require per-site granularity</t>
  </si>
  <si>
    <t xml:space="preserve">TAB INDEX</t>
  </si>
  <si>
    <t xml:space="preserve">Instructions</t>
  </si>
  <si>
    <t xml:space="preserve">You are here. Overview and usage guide.</t>
  </si>
  <si>
    <t xml:space="preserve">Reference Template</t>
  </si>
  <si>
    <t xml:space="preserve">Blank master template. Copy this tab once per datacenter.</t>
  </si>
  <si>
    <t xml:space="preserve">All Datacenters</t>
  </si>
  <si>
    <t xml:space="preserve">Use this tab if entering unified costs for all sites combined.</t>
  </si>
  <si>
    <t xml:space="preserve">Datacenter-1</t>
  </si>
  <si>
    <t xml:space="preserve">Example of a completed per-datacenter tab. Rename or duplicate as needed.</t>
  </si>
  <si>
    <t xml:space="preserve">Summary</t>
  </si>
  <si>
    <t xml:space="preserve">Automatic roll-up of totals from all datacenter tabs.</t>
  </si>
  <si>
    <t xml:space="preserve">WHO HOLDS THE DATA? (QUICK REFERENCE)</t>
  </si>
  <si>
    <t xml:space="preserve">Each section of this workbook includes a 'Typical Source' note identifying the role or office that usually owns the data. Your Points of Contact may vary — use these as a starting point for who to ask within your organization.</t>
  </si>
  <si>
    <t xml:space="preserve">Cost Data Entry — Reference Template (copy me for each datacenter)</t>
  </si>
  <si>
    <t xml:space="preserve">Datacenter / Scope Name:</t>
  </si>
  <si>
    <t xml:space="preserve">Reference Template (copy me for each datacenter)</t>
  </si>
  <si>
    <t xml:space="preserve">Completed By / Date:</t>
  </si>
  <si>
    <t xml:space="preserve">Currency:</t>
  </si>
  <si>
    <t xml:space="preserve">USD</t>
  </si>
  <si>
    <t xml:space="preserve">Reporting Period:</t>
  </si>
  <si>
    <t xml:space="preserve">Monthly</t>
  </si>
  <si>
    <t xml:space="preserve">Data-entry Mode:</t>
  </si>
  <si>
    <t xml:space="preserve">Edit for Specific Datacenter</t>
  </si>
  <si>
    <t xml:space="preserve">1. SERVER HARDWARE</t>
  </si>
  <si>
    <t xml:space="preserve">Capture the monthly amortized cost of traditional (3-tier) and/or hyper-converged servers. Choose an averaging method OR itemize by individual server.</t>
  </si>
  <si>
    <t xml:space="preserve">Data-Entry Method (choose one):</t>
  </si>
  <si>
    <t xml:space="preserve">Average cost for all servers</t>
  </si>
  <si>
    <t xml:space="preserve">Typical Source / POC:</t>
  </si>
  <si>
    <t xml:space="preserve">IT Asset Management, Contracting / Procurement Office, CIO/CTO office, or Finance (depreciation schedule).</t>
  </si>
  <si>
    <t xml:space="preserve">Option A — Average Cost (fastest)</t>
  </si>
  <si>
    <t xml:space="preserve">Server Type</t>
  </si>
  <si>
    <t xml:space="preserve"># of Servers</t>
  </si>
  <si>
    <t xml:space="preserve">Avg. Purchase Cost ($)</t>
  </si>
  <si>
    <t xml:space="preserve">Amortization Period (months)</t>
  </si>
  <si>
    <t xml:space="preserve">Monthly Cost / Server ($)</t>
  </si>
  <si>
    <t xml:space="preserve">Monthly Cost — Subtotal ($)</t>
  </si>
  <si>
    <t xml:space="preserve">Notes</t>
  </si>
  <si>
    <t xml:space="preserve">Traditional (3-tier)</t>
  </si>
  <si>
    <t xml:space="preserve">Hyper-Converged (HCI)</t>
  </si>
  <si>
    <t xml:space="preserve">Option A Subtotal (Monthly):</t>
  </si>
  <si>
    <t xml:space="preserve">Option B — Granular Per-Server (most accurate)</t>
  </si>
  <si>
    <t xml:space="preserve">Server Name / Tag</t>
  </si>
  <si>
    <t xml:space="preserve">Type (Trad/HCI)</t>
  </si>
  <si>
    <t xml:space="preserve">Purchase Cost ($)</t>
  </si>
  <si>
    <t xml:space="preserve">Amortization (months)</t>
  </si>
  <si>
    <t xml:space="preserve">Monthly Cost ($)</t>
  </si>
  <si>
    <t xml:space="preserve">Option B Subtotal (Monthly):</t>
  </si>
  <si>
    <t xml:space="preserve">SERVER HARDWARE — Monthly Total ($):</t>
  </si>
  <si>
    <t xml:space="preserve">2. STORAGE</t>
  </si>
  <si>
    <t xml:space="preserve">Dedicated storage arrays, SAN/NAS, or external storage (exclude HCI-integrated vSAN-style storage counted under Server Hardware).</t>
  </si>
  <si>
    <t xml:space="preserve">Average cost for all storage systems</t>
  </si>
  <si>
    <t xml:space="preserve">Storage Team, IT Asset Management, Contracting / Procurement, Finance (capital lease schedules).</t>
  </si>
  <si>
    <t xml:space="preserve">Option A — Average Cost</t>
  </si>
  <si>
    <t xml:space="preserve">Storage Tier</t>
  </si>
  <si>
    <t xml:space="preserve"># of Arrays</t>
  </si>
  <si>
    <t xml:space="preserve">Avg. Cost ($)</t>
  </si>
  <si>
    <t xml:space="preserve">Monthly / Array ($)</t>
  </si>
  <si>
    <t xml:space="preserve">Subtotal ($)</t>
  </si>
  <si>
    <t xml:space="preserve">All-Flash</t>
  </si>
  <si>
    <t xml:space="preserve">Hybrid/Disk</t>
  </si>
  <si>
    <t xml:space="preserve">Archive/Backup</t>
  </si>
  <si>
    <t xml:space="preserve">Option A Subtotal:</t>
  </si>
  <si>
    <t xml:space="preserve">Option B — Granular Per-Array</t>
  </si>
  <si>
    <t xml:space="preserve">Array Name / Tag</t>
  </si>
  <si>
    <t xml:space="preserve">Tier</t>
  </si>
  <si>
    <t xml:space="preserve">Cost ($)</t>
  </si>
  <si>
    <t xml:space="preserve">Option B Subtotal:</t>
  </si>
  <si>
    <t xml:space="preserve">STORAGE — Monthly Total ($):</t>
  </si>
  <si>
    <t xml:space="preserve">3. LICENSE</t>
  </si>
  <si>
    <t xml:space="preserve">Capture all software licensing costs. Includes VMware (vSphere Foundation, Cloud Foundation, vSAN, Private AI), OS (Windows Server, RHEL, SUSE, Windows Desktop), and other enterprise software.</t>
  </si>
  <si>
    <t xml:space="preserve">Aggregate monthly license spend</t>
  </si>
  <si>
    <t xml:space="preserve">Software Asset Management (SAM), Contracting Officer, Enterprise Licensing Agreement (ELA) owner, CIO Office.</t>
  </si>
  <si>
    <t xml:space="preserve">Option A — Aggregate (single monthly figure)</t>
  </si>
  <si>
    <t xml:space="preserve">Total Monthly License Spend ($):</t>
  </si>
  <si>
    <t xml:space="preserve">Option B — Itemized by SKU / Product</t>
  </si>
  <si>
    <t xml:space="preserve">License / SKU</t>
  </si>
  <si>
    <t xml:space="preserve">Charged By</t>
  </si>
  <si>
    <t xml:space="preserve">Contract / ELA Ref.</t>
  </si>
  <si>
    <t xml:space="preserve">VMware Cloud Foundation</t>
  </si>
  <si>
    <t xml:space="preserve">Per Core</t>
  </si>
  <si>
    <t xml:space="preserve">VMware Cloud Foundation for EOEM</t>
  </si>
  <si>
    <t xml:space="preserve">VMware Cloud Foundation for Edge</t>
  </si>
  <si>
    <t xml:space="preserve">VMware vSphere Foundation</t>
  </si>
  <si>
    <t xml:space="preserve">VMware vSAN Add-on</t>
  </si>
  <si>
    <t xml:space="preserve">Per TiB</t>
  </si>
  <si>
    <t xml:space="preserve">VMware Private AI Foundation Add-on</t>
  </si>
  <si>
    <t xml:space="preserve">VMware Software Per Core</t>
  </si>
  <si>
    <t xml:space="preserve">VMware Software</t>
  </si>
  <si>
    <t xml:space="preserve">Per Socket</t>
  </si>
  <si>
    <t xml:space="preserve">VMware vSAN</t>
  </si>
  <si>
    <t xml:space="preserve">Windows Server 2012 or earlier</t>
  </si>
  <si>
    <t xml:space="preserve">Windows Server 2016 or later</t>
  </si>
  <si>
    <t xml:space="preserve">Windows Desktop</t>
  </si>
  <si>
    <t xml:space="preserve">Per Instance</t>
  </si>
  <si>
    <t xml:space="preserve">SUSE</t>
  </si>
  <si>
    <t xml:space="preserve">Red Hat</t>
  </si>
  <si>
    <t xml:space="preserve">Other Operating Systems</t>
  </si>
  <si>
    <t xml:space="preserve">Other — specify</t>
  </si>
  <si>
    <t xml:space="preserve">LICENSE — Monthly Total ($):</t>
  </si>
  <si>
    <t xml:space="preserve">4. APPLICATIONS</t>
  </si>
  <si>
    <t xml:space="preserve">Business / mission applications running on this infrastructure (ERP, databases, custom apps, etc.) whose cost is borne by IT. Use multiple lines as needed.</t>
  </si>
  <si>
    <t xml:space="preserve">Aggregate monthly application spend</t>
  </si>
  <si>
    <t xml:space="preserve">Application Owners, Program Managers, Business Units / Mission Owners, SAM team.</t>
  </si>
  <si>
    <t xml:space="preserve">Option A — Aggregate</t>
  </si>
  <si>
    <t xml:space="preserve">Total Monthly Application Spend ($):</t>
  </si>
  <si>
    <t xml:space="preserve">Contract Ref.</t>
  </si>
  <si>
    <t xml:space="preserve">APPLICATIONS — Monthly Total ($):</t>
  </si>
  <si>
    <t xml:space="preserve">5. MAINTENANCE</t>
  </si>
  <si>
    <t xml:space="preserve">Hardware maintenance (typically % of server purchase cost) and OS maintenance (typically % of Windows Server licensing cost). You may enter percentages OR a direct monthly expense.</t>
  </si>
  <si>
    <t xml:space="preserve">Percentage-based (recommended)</t>
  </si>
  <si>
    <t xml:space="preserve">Contracting Office (maintenance contracts), Vendor Support renewals (Dell/HPE/Cisco/MS), Finance.</t>
  </si>
  <si>
    <t xml:space="preserve">Option A — Percentage-Based</t>
  </si>
  <si>
    <t xml:space="preserve">Maintenance Type</t>
  </si>
  <si>
    <t xml:space="preserve">% Rate (annual)</t>
  </si>
  <si>
    <t xml:space="preserve">Basis Amount ($, annual)</t>
  </si>
  <si>
    <t xml:space="preserve">Annual Cost ($)</t>
  </si>
  <si>
    <t xml:space="preserve">Reference %</t>
  </si>
  <si>
    <t xml:space="preserve">Hardware Maintenance</t>
  </si>
  <si>
    <t xml:space="preserve">10%</t>
  </si>
  <si>
    <t xml:space="preserve">% of server purchase cost</t>
  </si>
  <si>
    <t xml:space="preserve">OS Maintenance</t>
  </si>
  <si>
    <t xml:space="preserve">20%</t>
  </si>
  <si>
    <t xml:space="preserve">% of Windows Server licensing cost</t>
  </si>
  <si>
    <t xml:space="preserve">Option B — Direct Monthly Expense</t>
  </si>
  <si>
    <t xml:space="preserve">Total Monthly Maintenance ($):</t>
  </si>
  <si>
    <t xml:space="preserve">MAINTENANCE — Monthly Total ($):</t>
  </si>
  <si>
    <t xml:space="preserve">6. LABOR</t>
  </si>
  <si>
    <t xml:space="preserve">Administrative cost for managing physical servers, operating systems, and virtual machines. Enter an hourly rate + hours, OR a total monthly labor figure.</t>
  </si>
  <si>
    <t xml:space="preserve">Detailed (hourly rate × hours per category)</t>
  </si>
  <si>
    <t xml:space="preserve">HR / Payroll, CIO/CTO Office, O&amp;M Contract PM, Federal labor rate schedules (GS/WG bands) or contractor rate cards.</t>
  </si>
  <si>
    <t xml:space="preserve">Option A — Detailed by Category</t>
  </si>
  <si>
    <t xml:space="preserve">Category</t>
  </si>
  <si>
    <t xml:space="preserve">Reference</t>
  </si>
  <si>
    <t xml:space="preserve">Operating System admin</t>
  </si>
  <si>
    <t xml:space="preserve">US$43.55/hr</t>
  </si>
  <si>
    <t xml:space="preserve">Server admin</t>
  </si>
  <si>
    <t xml:space="preserve">US$14.05/hr</t>
  </si>
  <si>
    <t xml:space="preserve">Virtual Infrastructure / VM admin</t>
  </si>
  <si>
    <t xml:space="preserve">US$179.82/hr</t>
  </si>
  <si>
    <t xml:space="preserve">Option B — Total Monthly Labor</t>
  </si>
  <si>
    <t xml:space="preserve">Total Monthly Labor ($):</t>
  </si>
  <si>
    <t xml:space="preserve">LABOR — Monthly Total ($):</t>
  </si>
  <si>
    <t xml:space="preserve">7. NETWORK</t>
  </si>
  <si>
    <t xml:space="preserve">Physical network infrastructure cost estimated by count and type of network interfaces on the ESXi / physical servers. Enter per-NIC rates OR a total monthly figure.</t>
  </si>
  <si>
    <t xml:space="preserve">Per-NIC count × rate</t>
  </si>
  <si>
    <t xml:space="preserve">Network Engineering Team, Circuit/Transport Contracting (DISA, carrier), Facilities (for cross-connects).</t>
  </si>
  <si>
    <t xml:space="preserve">Option A — Per-NIC Count × Rate</t>
  </si>
  <si>
    <t xml:space="preserve">NIC Type</t>
  </si>
  <si>
    <t xml:space="preserve">Monthly Cost / NIC ($)</t>
  </si>
  <si>
    <t xml:space="preserve">Reference Cost</t>
  </si>
  <si>
    <t xml:space="preserve">1 Gigabit NIC</t>
  </si>
  <si>
    <t xml:space="preserve">US$45.00</t>
  </si>
  <si>
    <t xml:space="preserve">10 Gigabit NIC</t>
  </si>
  <si>
    <t xml:space="preserve">US$90.00</t>
  </si>
  <si>
    <t xml:space="preserve">25 Gigabit NIC</t>
  </si>
  <si>
    <t xml:space="preserve">US$135.00</t>
  </si>
  <si>
    <t xml:space="preserve">40 Gigabit NIC</t>
  </si>
  <si>
    <t xml:space="preserve">US$180.00</t>
  </si>
  <si>
    <t xml:space="preserve">100 Gigabit NIC</t>
  </si>
  <si>
    <t xml:space="preserve">US$225.00</t>
  </si>
  <si>
    <t xml:space="preserve">Option B — Total Monthly Network Expense</t>
  </si>
  <si>
    <t xml:space="preserve">Total Monthly Network Cost ($):</t>
  </si>
  <si>
    <t xml:space="preserve">NETWORK — Monthly Total ($):</t>
  </si>
  <si>
    <t xml:space="preserve">8. FACILITIES</t>
  </si>
  <si>
    <t xml:space="preserve">Real estate, power/cooling, racks, and associated facilities cost. Enter kWh + rack rate, OR a total monthly figure.</t>
  </si>
  <si>
    <t xml:space="preserve">Detailed (kWh + rack rate)</t>
  </si>
  <si>
    <t xml:space="preserve">Facilities / Real Property Office, Data Center Operations, Public Works (GSA for federal), Utility Contracting.</t>
  </si>
  <si>
    <t xml:space="preserve">Option A — Detailed (Power + Rack Space)</t>
  </si>
  <si>
    <t xml:space="preserve">Component</t>
  </si>
  <si>
    <t xml:space="preserve">Rate ($)</t>
  </si>
  <si>
    <t xml:space="preserve">Power &amp; Cooling (per kWh)</t>
  </si>
  <si>
    <t xml:space="preserve">US$0.08/kWh</t>
  </si>
  <si>
    <t xml:space="preserve">Rack Space (per rack unit / U, monthly)</t>
  </si>
  <si>
    <t xml:space="preserve">US$50.00/U</t>
  </si>
  <si>
    <t xml:space="preserve">Option B — Total Monthly Facilities</t>
  </si>
  <si>
    <t xml:space="preserve">Total Monthly Facilities ($):</t>
  </si>
  <si>
    <t xml:space="preserve">FACILITIES — Monthly Total ($):</t>
  </si>
  <si>
    <t xml:space="preserve">Program Office, Budget Office, Contracting (for one-time purchases, prof services, training).</t>
  </si>
  <si>
    <t xml:space="preserve">9. ADDITIONAL COST</t>
  </si>
  <si>
    <t xml:space="preserve">Any additional or extra expense not covered above. Attribute each line item to an entity type (All, Datacenter, Cluster, Host, VM, Department).</t>
  </si>
  <si>
    <t xml:space="preserve">Itemized Additional Costs</t>
  </si>
  <si>
    <t xml:space="preserve">Cost Type</t>
  </si>
  <si>
    <t xml:space="preserve">Entity Type</t>
  </si>
  <si>
    <t xml:space="preserve">Entity Value</t>
  </si>
  <si>
    <t xml:space="preserve">Entity Selection</t>
  </si>
  <si>
    <t xml:space="preserve">Amount ($/month)</t>
  </si>
  <si>
    <t xml:space="preserve">Frequency</t>
  </si>
  <si>
    <t xml:space="preserve">Additional Cost Subtotal (Monthly):</t>
  </si>
  <si>
    <t xml:space="preserve">ADDITIONAL COST — Monthly Total ($):</t>
  </si>
  <si>
    <t xml:space="preserve">GRAND TOTAL — ALL COST DRIVERS</t>
  </si>
  <si>
    <t xml:space="preserve">Total Private Cloud Monthly Cost ($):</t>
  </si>
  <si>
    <t xml:space="preserve">Total Private Cloud Annual Cost ($):</t>
  </si>
  <si>
    <t xml:space="preserve">Cost Data Entry — All Datacenters (aggregate)</t>
  </si>
  <si>
    <t xml:space="preserve">All Datacenters (aggregate)</t>
  </si>
  <si>
    <t xml:space="preserve">Edit for All Datacenters</t>
  </si>
  <si>
    <t xml:space="preserve">Quantity</t>
  </si>
  <si>
    <t xml:space="preserve">Unit Cost ($)</t>
  </si>
  <si>
    <t xml:space="preserve">Cost Data Entry — Datacenter-1</t>
  </si>
  <si>
    <t xml:space="preserve">Summary — Consolidated Private Cloud Costs</t>
  </si>
  <si>
    <t xml:space="preserve">Auto-rolled totals from each datacenter tab. Edit data on the source tabs — this view is read-only.</t>
  </si>
  <si>
    <t xml:space="preserve">Cost Driver</t>
  </si>
  <si>
    <t xml:space="preserve">Total (All Tabs)</t>
  </si>
  <si>
    <t xml:space="preserve">Server Hardware</t>
  </si>
  <si>
    <t xml:space="preserve">Storage</t>
  </si>
  <si>
    <t xml:space="preserve">License</t>
  </si>
  <si>
    <t xml:space="preserve">Applications</t>
  </si>
  <si>
    <t xml:space="preserve">Maintenance</t>
  </si>
  <si>
    <t xml:space="preserve">Labor</t>
  </si>
  <si>
    <t xml:space="preserve">Network</t>
  </si>
  <si>
    <t xml:space="preserve">Facilities</t>
  </si>
  <si>
    <t xml:space="preserve">Additional Cost</t>
  </si>
  <si>
    <t xml:space="preserve">MONTHLY GRAND TOTAL</t>
  </si>
  <si>
    <t xml:space="preserve">ANNUAL GRAND TOTAL</t>
  </si>
  <si>
    <t xml:space="preserve">HOW TO ADD A NEW DATACENTER TAB</t>
  </si>
  <si>
    <t xml:space="preserve">1. Right-click the 'Reference Template' tab → 'Move or Copy' → check 'Create a copy' → OK.
2. Rename the new tab (e.g., 'DC-Ashburn').
3. Update the 'Datacenter / Scope Name' field at the top of the new tab.
4. To include the new tab in this Summary, add a column: copy an existing column's formulas and update the sheet-name reference. Alternatively, ask your Anthropic / delivery contact to re-run the worksheet generator with the additional tab.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</si>
</sst>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_(\$* #,##0.00_);_(\$* \(#,##0.00\);_(\$* \-??_);_(@_)"/>
    <numFmt numFmtId="168" formatCode="#,##0.00"/>
    <numFmt numFmtId="169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2E5597"/>
      </patternFill>
    </fill>
    <fill>
      <patternFill patternType="solid">
        <fgColor rgb="FFBDD7EE"/>
        <bgColor rgb="FFD9E2F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75"/>
    <col collapsed="false" customWidth="true" hidden="false" outlineLevel="0" max="4" min="4" style="1" width="3"/>
  </cols>
  <sheetData>
    <row r="2" customFormat="false" ht="39.75" hidden="false" customHeight="true" outlineLevel="0" collapsed="false">
      <c r="B2" s="2" t="s">
        <v>0</v>
      </c>
      <c r="C2" s="2"/>
    </row>
    <row r="3" customFormat="false" ht="21.7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60" hidden="false" customHeight="true" outlineLevel="0" collapsed="false">
      <c r="B6" s="5" t="s">
        <v>3</v>
      </c>
      <c r="C6" s="5"/>
    </row>
    <row r="8" customFormat="false" ht="21.75" hidden="false" customHeight="true" outlineLevel="0" collapsed="false">
      <c r="B8" s="4" t="s">
        <v>4</v>
      </c>
      <c r="C8" s="4"/>
    </row>
    <row r="9" customFormat="false" ht="48" hidden="false" customHeight="true" outlineLevel="0" collapsed="false">
      <c r="B9" s="6" t="s">
        <v>5</v>
      </c>
      <c r="C9" s="7" t="s">
        <v>6</v>
      </c>
    </row>
    <row r="10" customFormat="false" ht="48" hidden="false" customHeight="true" outlineLevel="0" collapsed="false">
      <c r="B10" s="6" t="s">
        <v>7</v>
      </c>
      <c r="C10" s="7" t="s">
        <v>8</v>
      </c>
    </row>
    <row r="11" customFormat="false" ht="48" hidden="false" customHeight="true" outlineLevel="0" collapsed="false">
      <c r="B11" s="6" t="s">
        <v>9</v>
      </c>
      <c r="C11" s="7" t="s">
        <v>10</v>
      </c>
    </row>
    <row r="12" customFormat="false" ht="48" hidden="false" customHeight="true" outlineLevel="0" collapsed="false">
      <c r="B12" s="6" t="s">
        <v>11</v>
      </c>
      <c r="C12" s="7" t="s">
        <v>12</v>
      </c>
    </row>
    <row r="13" customFormat="false" ht="48" hidden="false" customHeight="true" outlineLevel="0" collapsed="false">
      <c r="B13" s="6" t="s">
        <v>13</v>
      </c>
      <c r="C13" s="7" t="s">
        <v>14</v>
      </c>
    </row>
    <row r="15" customFormat="false" ht="21.75" hidden="false" customHeight="true" outlineLevel="0" collapsed="false">
      <c r="B15" s="4" t="s">
        <v>15</v>
      </c>
      <c r="C15" s="4"/>
    </row>
    <row r="16" customFormat="false" ht="19.5" hidden="false" customHeight="true" outlineLevel="0" collapsed="false">
      <c r="B16" s="8" t="s">
        <v>16</v>
      </c>
      <c r="C16" s="7" t="s">
        <v>17</v>
      </c>
    </row>
    <row r="17" customFormat="false" ht="19.5" hidden="false" customHeight="true" outlineLevel="0" collapsed="false">
      <c r="B17" s="9" t="s">
        <v>18</v>
      </c>
      <c r="C17" s="7" t="s">
        <v>19</v>
      </c>
    </row>
    <row r="18" customFormat="false" ht="19.5" hidden="false" customHeight="true" outlineLevel="0" collapsed="false">
      <c r="B18" s="10" t="s">
        <v>20</v>
      </c>
      <c r="C18" s="7" t="s">
        <v>21</v>
      </c>
    </row>
    <row r="19" customFormat="false" ht="19.5" hidden="false" customHeight="true" outlineLevel="0" collapsed="false">
      <c r="B19" s="11" t="s">
        <v>22</v>
      </c>
      <c r="C19" s="7" t="s">
        <v>23</v>
      </c>
    </row>
    <row r="20" customFormat="false" ht="19.5" hidden="false" customHeight="true" outlineLevel="0" collapsed="false">
      <c r="B20" s="12" t="s">
        <v>24</v>
      </c>
      <c r="C20" s="7" t="s">
        <v>25</v>
      </c>
    </row>
    <row r="22" customFormat="false" ht="21.75" hidden="false" customHeight="true" outlineLevel="0" collapsed="false">
      <c r="B22" s="4" t="s">
        <v>26</v>
      </c>
      <c r="C22" s="4"/>
    </row>
    <row r="23" customFormat="false" ht="21.75" hidden="false" customHeight="true" outlineLevel="0" collapsed="false">
      <c r="B23" s="13" t="s">
        <v>27</v>
      </c>
      <c r="C23" s="13" t="s">
        <v>28</v>
      </c>
    </row>
    <row r="24" customFormat="false" ht="84.75" hidden="false" customHeight="true" outlineLevel="0" collapsed="false">
      <c r="B24" s="14" t="s">
        <v>29</v>
      </c>
      <c r="C24" s="14" t="s">
        <v>30</v>
      </c>
    </row>
    <row r="26" customFormat="false" ht="21.75" hidden="false" customHeight="true" outlineLevel="0" collapsed="false">
      <c r="B26" s="4" t="s">
        <v>31</v>
      </c>
      <c r="C26" s="4"/>
    </row>
    <row r="27" customFormat="false" ht="21.75" hidden="false" customHeight="true" outlineLevel="0" collapsed="false">
      <c r="B27" s="15" t="s">
        <v>32</v>
      </c>
      <c r="C27" s="7" t="s">
        <v>33</v>
      </c>
    </row>
    <row r="28" customFormat="false" ht="21.75" hidden="false" customHeight="true" outlineLevel="0" collapsed="false">
      <c r="B28" s="15" t="s">
        <v>34</v>
      </c>
      <c r="C28" s="7" t="s">
        <v>35</v>
      </c>
    </row>
    <row r="29" customFormat="false" ht="21.75" hidden="false" customHeight="true" outlineLevel="0" collapsed="false">
      <c r="B29" s="15" t="s">
        <v>36</v>
      </c>
      <c r="C29" s="7" t="s">
        <v>37</v>
      </c>
    </row>
    <row r="30" customFormat="false" ht="21.75" hidden="false" customHeight="true" outlineLevel="0" collapsed="false">
      <c r="B30" s="15" t="s">
        <v>38</v>
      </c>
      <c r="C30" s="7" t="s">
        <v>39</v>
      </c>
    </row>
    <row r="31" customFormat="false" ht="21.75" hidden="false" customHeight="true" outlineLevel="0" collapsed="false">
      <c r="B31" s="15" t="s">
        <v>40</v>
      </c>
      <c r="C31" s="7" t="s">
        <v>41</v>
      </c>
    </row>
    <row r="33" customFormat="false" ht="21.75" hidden="false" customHeight="true" outlineLevel="0" collapsed="false">
      <c r="B33" s="4" t="s">
        <v>42</v>
      </c>
      <c r="C33" s="4"/>
    </row>
    <row r="34" customFormat="false" ht="39.75" hidden="false" customHeight="true" outlineLevel="0" collapsed="false">
      <c r="B34" s="16" t="s">
        <v>43</v>
      </c>
      <c r="C34" s="16"/>
    </row>
  </sheetData>
  <mergeCells count="10">
    <mergeCell ref="B2:C2"/>
    <mergeCell ref="B3:C3"/>
    <mergeCell ref="B5:C5"/>
    <mergeCell ref="B6:C6"/>
    <mergeCell ref="B8:C8"/>
    <mergeCell ref="B15:C15"/>
    <mergeCell ref="B22:C22"/>
    <mergeCell ref="B26:C26"/>
    <mergeCell ref="B33:C33"/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20"/>
    <col collapsed="false" customWidth="true" hidden="false" outlineLevel="0" max="8" min="8" style="1" width="22"/>
    <col collapsed="false" customWidth="true" hidden="false" outlineLevel="0" max="9" min="9" style="1" width="40"/>
    <col collapsed="false" customWidth="true" hidden="false" outlineLevel="0" max="10" min="10" style="1" width="3"/>
  </cols>
  <sheetData>
    <row r="2" customFormat="false" ht="33.75" hidden="false" customHeight="true" outlineLevel="0" collapsed="false">
      <c r="B2" s="2" t="s">
        <v>44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7" t="s">
        <v>45</v>
      </c>
      <c r="C4" s="18" t="s">
        <v>46</v>
      </c>
      <c r="D4" s="18"/>
      <c r="E4" s="18"/>
      <c r="F4" s="18"/>
      <c r="G4" s="18"/>
      <c r="H4" s="17" t="s">
        <v>47</v>
      </c>
      <c r="I4" s="19"/>
    </row>
    <row r="5" customFormat="false" ht="21.75" hidden="false" customHeight="true" outlineLevel="0" collapsed="false">
      <c r="B5" s="17" t="s">
        <v>48</v>
      </c>
      <c r="C5" s="19" t="s">
        <v>49</v>
      </c>
      <c r="D5" s="18"/>
      <c r="E5" s="18"/>
      <c r="F5" s="18"/>
      <c r="G5" s="18"/>
      <c r="H5" s="20"/>
      <c r="I5" s="19"/>
    </row>
    <row r="6" customFormat="false" ht="21.75" hidden="false" customHeight="true" outlineLevel="0" collapsed="false">
      <c r="B6" s="17" t="s">
        <v>50</v>
      </c>
      <c r="C6" s="21" t="s">
        <v>51</v>
      </c>
      <c r="D6" s="18"/>
      <c r="E6" s="18"/>
      <c r="F6" s="18"/>
      <c r="G6" s="18"/>
      <c r="H6" s="20"/>
      <c r="I6" s="19"/>
    </row>
    <row r="7" customFormat="false" ht="21.75" hidden="false" customHeight="true" outlineLevel="0" collapsed="false">
      <c r="B7" s="17" t="s">
        <v>52</v>
      </c>
      <c r="C7" s="18" t="s">
        <v>53</v>
      </c>
      <c r="D7" s="18"/>
      <c r="E7" s="18"/>
      <c r="F7" s="18"/>
      <c r="G7" s="18"/>
      <c r="H7" s="20"/>
      <c r="I7" s="19"/>
    </row>
    <row r="8" customFormat="false" ht="21.75" hidden="false" customHeight="true" outlineLevel="0" collapsed="false">
      <c r="B8" s="20"/>
      <c r="C8" s="18"/>
      <c r="D8" s="18"/>
      <c r="E8" s="18"/>
      <c r="F8" s="18"/>
      <c r="G8" s="18"/>
      <c r="H8" s="20"/>
      <c r="I8" s="19"/>
    </row>
    <row r="10" customFormat="false" ht="25.5" hidden="false" customHeight="true" outlineLevel="0" collapsed="false">
      <c r="B10" s="4" t="s">
        <v>54</v>
      </c>
      <c r="C10" s="4"/>
      <c r="D10" s="4"/>
      <c r="E10" s="4"/>
      <c r="F10" s="4"/>
      <c r="G10" s="4"/>
      <c r="H10" s="4"/>
      <c r="I10" s="4"/>
    </row>
    <row r="11" customFormat="false" ht="31.5" hidden="false" customHeight="true" outlineLevel="0" collapsed="false">
      <c r="B11" s="16" t="s">
        <v>55</v>
      </c>
      <c r="C11" s="16"/>
      <c r="D11" s="16"/>
      <c r="E11" s="16"/>
      <c r="F11" s="16"/>
      <c r="G11" s="16"/>
      <c r="H11" s="16"/>
      <c r="I11" s="16"/>
    </row>
    <row r="12" customFormat="false" ht="21.75" hidden="false" customHeight="true" outlineLevel="0" collapsed="false">
      <c r="B12" s="22" t="s">
        <v>56</v>
      </c>
      <c r="C12" s="23" t="s">
        <v>57</v>
      </c>
      <c r="D12" s="23"/>
      <c r="E12" s="23"/>
      <c r="F12" s="17" t="s">
        <v>58</v>
      </c>
      <c r="G12" s="24" t="s">
        <v>59</v>
      </c>
      <c r="H12" s="24"/>
      <c r="I12" s="24"/>
    </row>
    <row r="14" customFormat="false" ht="21.75" hidden="false" customHeight="true" outlineLevel="0" collapsed="false">
      <c r="B14" s="25" t="s">
        <v>60</v>
      </c>
      <c r="C14" s="25"/>
      <c r="D14" s="25"/>
      <c r="E14" s="25"/>
      <c r="F14" s="25"/>
      <c r="G14" s="25"/>
      <c r="H14" s="25"/>
      <c r="I14" s="25"/>
    </row>
    <row r="15" customFormat="false" ht="27.75" hidden="false" customHeight="true" outlineLevel="0" collapsed="false">
      <c r="B15" s="26" t="s">
        <v>61</v>
      </c>
      <c r="C15" s="26" t="s">
        <v>62</v>
      </c>
      <c r="D15" s="26" t="s">
        <v>63</v>
      </c>
      <c r="E15" s="26" t="s">
        <v>64</v>
      </c>
      <c r="F15" s="26" t="s">
        <v>65</v>
      </c>
      <c r="G15" s="26" t="s">
        <v>66</v>
      </c>
      <c r="H15" s="27" t="s">
        <v>67</v>
      </c>
      <c r="I15" s="27"/>
    </row>
    <row r="16" customFormat="false" ht="19.5" hidden="false" customHeight="true" outlineLevel="0" collapsed="false">
      <c r="B16" s="7" t="s">
        <v>68</v>
      </c>
      <c r="C16" s="28"/>
      <c r="D16" s="29"/>
      <c r="E16" s="28" t="n">
        <v>60</v>
      </c>
      <c r="F16" s="30" t="n">
        <f aca="false">IFERROR(D16/E16,0)</f>
        <v>0</v>
      </c>
      <c r="G16" s="30" t="n">
        <f aca="false">C16*F16</f>
        <v>0</v>
      </c>
      <c r="H16" s="19"/>
      <c r="I16" s="19"/>
    </row>
    <row r="17" customFormat="false" ht="19.5" hidden="false" customHeight="true" outlineLevel="0" collapsed="false">
      <c r="B17" s="7" t="s">
        <v>69</v>
      </c>
      <c r="C17" s="28"/>
      <c r="D17" s="29"/>
      <c r="E17" s="28" t="n">
        <v>60</v>
      </c>
      <c r="F17" s="30" t="n">
        <f aca="false">IFERROR(D17/E17,0)</f>
        <v>0</v>
      </c>
      <c r="G17" s="30" t="n">
        <f aca="false">C17*F17</f>
        <v>0</v>
      </c>
      <c r="H17" s="19"/>
      <c r="I17" s="19"/>
    </row>
    <row r="18" customFormat="false" ht="21.75" hidden="false" customHeight="true" outlineLevel="0" collapsed="false">
      <c r="B18" s="31" t="s">
        <v>70</v>
      </c>
      <c r="C18" s="31"/>
      <c r="D18" s="31"/>
      <c r="E18" s="31"/>
      <c r="F18" s="31"/>
      <c r="G18" s="32" t="n">
        <f aca="false">SUM(G16:G17)</f>
        <v>0</v>
      </c>
      <c r="H18" s="20"/>
      <c r="I18" s="20"/>
    </row>
    <row r="20" customFormat="false" ht="21.75" hidden="false" customHeight="true" outlineLevel="0" collapsed="false">
      <c r="B20" s="25" t="s">
        <v>71</v>
      </c>
      <c r="C20" s="25"/>
      <c r="D20" s="25"/>
      <c r="E20" s="25"/>
      <c r="F20" s="25"/>
      <c r="G20" s="25"/>
      <c r="H20" s="25"/>
      <c r="I20" s="25"/>
    </row>
    <row r="21" customFormat="false" ht="27.75" hidden="false" customHeight="true" outlineLevel="0" collapsed="false">
      <c r="B21" s="26" t="s">
        <v>72</v>
      </c>
      <c r="C21" s="26" t="s">
        <v>73</v>
      </c>
      <c r="D21" s="26" t="s">
        <v>74</v>
      </c>
      <c r="E21" s="26" t="s">
        <v>75</v>
      </c>
      <c r="F21" s="26" t="s">
        <v>76</v>
      </c>
      <c r="G21" s="26"/>
      <c r="H21" s="27" t="s">
        <v>67</v>
      </c>
      <c r="I21" s="27"/>
    </row>
    <row r="22" customFormat="false" ht="18" hidden="false" customHeight="true" outlineLevel="0" collapsed="false">
      <c r="B22" s="33"/>
      <c r="C22" s="33"/>
      <c r="D22" s="29"/>
      <c r="E22" s="28"/>
      <c r="F22" s="30" t="str">
        <f aca="false">IF(AND(ISNUMBER(D22),ISNUMBER(E22),E22&gt;0),D22/E22,"")</f>
        <v/>
      </c>
      <c r="G22" s="34"/>
      <c r="H22" s="19"/>
      <c r="I22" s="19"/>
    </row>
    <row r="23" customFormat="false" ht="18" hidden="false" customHeight="true" outlineLevel="0" collapsed="false">
      <c r="B23" s="33"/>
      <c r="C23" s="33"/>
      <c r="D23" s="29"/>
      <c r="E23" s="28"/>
      <c r="F23" s="30" t="str">
        <f aca="false">IF(AND(ISNUMBER(D23),ISNUMBER(E23),E23&gt;0),D23/E23,"")</f>
        <v/>
      </c>
      <c r="G23" s="34"/>
      <c r="H23" s="19"/>
      <c r="I23" s="19"/>
    </row>
    <row r="24" customFormat="false" ht="18" hidden="false" customHeight="true" outlineLevel="0" collapsed="false">
      <c r="B24" s="33"/>
      <c r="C24" s="33"/>
      <c r="D24" s="29"/>
      <c r="E24" s="28"/>
      <c r="F24" s="30" t="str">
        <f aca="false">IF(AND(ISNUMBER(D24),ISNUMBER(E24),E24&gt;0),D24/E24,"")</f>
        <v/>
      </c>
      <c r="G24" s="34"/>
      <c r="H24" s="19"/>
      <c r="I24" s="19"/>
    </row>
    <row r="25" customFormat="false" ht="18" hidden="false" customHeight="true" outlineLevel="0" collapsed="false">
      <c r="B25" s="33"/>
      <c r="C25" s="33"/>
      <c r="D25" s="29"/>
      <c r="E25" s="28"/>
      <c r="F25" s="30" t="str">
        <f aca="false">IF(AND(ISNUMBER(D25),ISNUMBER(E25),E25&gt;0),D25/E25,"")</f>
        <v/>
      </c>
      <c r="G25" s="34"/>
      <c r="H25" s="19"/>
      <c r="I25" s="19"/>
    </row>
    <row r="26" customFormat="false" ht="18" hidden="false" customHeight="true" outlineLevel="0" collapsed="false">
      <c r="B26" s="33"/>
      <c r="C26" s="33"/>
      <c r="D26" s="29"/>
      <c r="E26" s="28"/>
      <c r="F26" s="30" t="str">
        <f aca="false">IF(AND(ISNUMBER(D26),ISNUMBER(E26),E26&gt;0),D26/E26,"")</f>
        <v/>
      </c>
      <c r="G26" s="34"/>
      <c r="H26" s="19"/>
      <c r="I26" s="19"/>
    </row>
    <row r="27" customFormat="false" ht="18" hidden="false" customHeight="true" outlineLevel="0" collapsed="false">
      <c r="B27" s="33"/>
      <c r="C27" s="33"/>
      <c r="D27" s="29"/>
      <c r="E27" s="28"/>
      <c r="F27" s="30" t="str">
        <f aca="false">IF(AND(ISNUMBER(D27),ISNUMBER(E27),E27&gt;0),D27/E27,"")</f>
        <v/>
      </c>
      <c r="G27" s="34"/>
      <c r="H27" s="19"/>
      <c r="I27" s="19"/>
    </row>
    <row r="28" customFormat="false" ht="18" hidden="false" customHeight="true" outlineLevel="0" collapsed="false">
      <c r="B28" s="33"/>
      <c r="C28" s="33"/>
      <c r="D28" s="29"/>
      <c r="E28" s="28"/>
      <c r="F28" s="30" t="str">
        <f aca="false">IF(AND(ISNUMBER(D28),ISNUMBER(E28),E28&gt;0),D28/E28,"")</f>
        <v/>
      </c>
      <c r="G28" s="34"/>
      <c r="H28" s="19"/>
      <c r="I28" s="19"/>
    </row>
    <row r="29" customFormat="false" ht="18" hidden="false" customHeight="true" outlineLevel="0" collapsed="false">
      <c r="B29" s="33"/>
      <c r="C29" s="33"/>
      <c r="D29" s="29"/>
      <c r="E29" s="28"/>
      <c r="F29" s="30" t="str">
        <f aca="false">IF(AND(ISNUMBER(D29),ISNUMBER(E29),E29&gt;0),D29/E29,"")</f>
        <v/>
      </c>
      <c r="G29" s="34"/>
      <c r="H29" s="19"/>
      <c r="I29" s="19"/>
    </row>
    <row r="30" customFormat="false" ht="18" hidden="false" customHeight="true" outlineLevel="0" collapsed="false">
      <c r="B30" s="33"/>
      <c r="C30" s="33"/>
      <c r="D30" s="29"/>
      <c r="E30" s="28"/>
      <c r="F30" s="30" t="str">
        <f aca="false">IF(AND(ISNUMBER(D30),ISNUMBER(E30),E30&gt;0),D30/E30,"")</f>
        <v/>
      </c>
      <c r="G30" s="34"/>
      <c r="H30" s="19"/>
      <c r="I30" s="19"/>
    </row>
    <row r="31" customFormat="false" ht="18" hidden="false" customHeight="true" outlineLevel="0" collapsed="false">
      <c r="B31" s="33"/>
      <c r="C31" s="33"/>
      <c r="D31" s="29"/>
      <c r="E31" s="28"/>
      <c r="F31" s="30" t="str">
        <f aca="false">IF(AND(ISNUMBER(D31),ISNUMBER(E31),E31&gt;0),D31/E31,"")</f>
        <v/>
      </c>
      <c r="G31" s="34"/>
      <c r="H31" s="19"/>
      <c r="I31" s="19"/>
    </row>
    <row r="32" customFormat="false" ht="21.75" hidden="false" customHeight="true" outlineLevel="0" collapsed="false">
      <c r="B32" s="31" t="s">
        <v>77</v>
      </c>
      <c r="C32" s="31"/>
      <c r="D32" s="31"/>
      <c r="E32" s="31"/>
      <c r="F32" s="32" t="n">
        <f aca="false">IFERROR(SUM(F22:F31),0)</f>
        <v>0</v>
      </c>
      <c r="G32" s="20"/>
      <c r="H32" s="20"/>
      <c r="I32" s="20"/>
    </row>
    <row r="34" customFormat="false" ht="24" hidden="false" customHeight="true" outlineLevel="0" collapsed="false">
      <c r="B34" s="35" t="s">
        <v>78</v>
      </c>
      <c r="C34" s="35"/>
      <c r="D34" s="35"/>
      <c r="E34" s="35"/>
      <c r="F34" s="36"/>
      <c r="G34" s="36"/>
      <c r="H34" s="37" t="n">
        <f aca="false">IF(C12="Average cost for all servers",G18,F32)</f>
        <v>0</v>
      </c>
      <c r="I34" s="36"/>
    </row>
    <row r="36" customFormat="false" ht="25.5" hidden="false" customHeight="true" outlineLevel="0" collapsed="false">
      <c r="B36" s="4" t="s">
        <v>79</v>
      </c>
      <c r="C36" s="4"/>
      <c r="D36" s="4"/>
      <c r="E36" s="4"/>
      <c r="F36" s="4"/>
      <c r="G36" s="4"/>
      <c r="H36" s="4"/>
      <c r="I36" s="4"/>
    </row>
    <row r="37" customFormat="false" ht="31.5" hidden="false" customHeight="true" outlineLevel="0" collapsed="false">
      <c r="B37" s="16" t="s">
        <v>80</v>
      </c>
      <c r="C37" s="16"/>
      <c r="D37" s="16"/>
      <c r="E37" s="16"/>
      <c r="F37" s="16"/>
      <c r="G37" s="16"/>
      <c r="H37" s="16"/>
      <c r="I37" s="16"/>
    </row>
    <row r="38" customFormat="false" ht="21.75" hidden="false" customHeight="true" outlineLevel="0" collapsed="false">
      <c r="B38" s="22" t="s">
        <v>56</v>
      </c>
      <c r="C38" s="23" t="s">
        <v>81</v>
      </c>
      <c r="D38" s="23"/>
      <c r="E38" s="23"/>
      <c r="F38" s="17" t="s">
        <v>58</v>
      </c>
      <c r="G38" s="24" t="s">
        <v>82</v>
      </c>
      <c r="H38" s="24"/>
      <c r="I38" s="24"/>
    </row>
    <row r="40" customFormat="false" ht="21.75" hidden="false" customHeight="true" outlineLevel="0" collapsed="false">
      <c r="B40" s="25" t="s">
        <v>83</v>
      </c>
      <c r="C40" s="25"/>
      <c r="D40" s="25"/>
      <c r="E40" s="25"/>
      <c r="F40" s="25"/>
      <c r="G40" s="25"/>
      <c r="H40" s="25"/>
      <c r="I40" s="25"/>
    </row>
    <row r="41" customFormat="false" ht="27.75" hidden="false" customHeight="true" outlineLevel="0" collapsed="false">
      <c r="B41" s="26" t="s">
        <v>84</v>
      </c>
      <c r="C41" s="26" t="s">
        <v>85</v>
      </c>
      <c r="D41" s="26" t="s">
        <v>86</v>
      </c>
      <c r="E41" s="26" t="s">
        <v>75</v>
      </c>
      <c r="F41" s="26" t="s">
        <v>87</v>
      </c>
      <c r="G41" s="26" t="s">
        <v>88</v>
      </c>
      <c r="H41" s="27" t="s">
        <v>67</v>
      </c>
      <c r="I41" s="27"/>
    </row>
    <row r="42" customFormat="false" ht="19.5" hidden="false" customHeight="true" outlineLevel="0" collapsed="false">
      <c r="B42" s="7" t="s">
        <v>89</v>
      </c>
      <c r="C42" s="28"/>
      <c r="D42" s="29"/>
      <c r="E42" s="28" t="n">
        <v>60</v>
      </c>
      <c r="F42" s="30" t="n">
        <f aca="false">IFERROR(D42/E42,0)</f>
        <v>0</v>
      </c>
      <c r="G42" s="30" t="n">
        <f aca="false">C42*F42</f>
        <v>0</v>
      </c>
      <c r="H42" s="19"/>
      <c r="I42" s="19"/>
    </row>
    <row r="43" customFormat="false" ht="19.5" hidden="false" customHeight="true" outlineLevel="0" collapsed="false">
      <c r="B43" s="7" t="s">
        <v>90</v>
      </c>
      <c r="C43" s="28"/>
      <c r="D43" s="29"/>
      <c r="E43" s="28" t="n">
        <v>60</v>
      </c>
      <c r="F43" s="30" t="n">
        <f aca="false">IFERROR(D43/E43,0)</f>
        <v>0</v>
      </c>
      <c r="G43" s="30" t="n">
        <f aca="false">C43*F43</f>
        <v>0</v>
      </c>
      <c r="H43" s="19"/>
      <c r="I43" s="19"/>
    </row>
    <row r="44" customFormat="false" ht="19.5" hidden="false" customHeight="true" outlineLevel="0" collapsed="false">
      <c r="B44" s="7" t="s">
        <v>91</v>
      </c>
      <c r="C44" s="28"/>
      <c r="D44" s="29"/>
      <c r="E44" s="28" t="n">
        <v>60</v>
      </c>
      <c r="F44" s="30" t="n">
        <f aca="false">IFERROR(D44/E44,0)</f>
        <v>0</v>
      </c>
      <c r="G44" s="30" t="n">
        <f aca="false">C44*F44</f>
        <v>0</v>
      </c>
      <c r="H44" s="19"/>
      <c r="I44" s="19"/>
    </row>
    <row r="45" customFormat="false" ht="21.75" hidden="false" customHeight="true" outlineLevel="0" collapsed="false">
      <c r="B45" s="31" t="s">
        <v>92</v>
      </c>
      <c r="C45" s="31"/>
      <c r="D45" s="31"/>
      <c r="E45" s="31"/>
      <c r="F45" s="31"/>
      <c r="G45" s="32" t="n">
        <f aca="false">SUM(G42:G44)</f>
        <v>0</v>
      </c>
      <c r="H45" s="38"/>
      <c r="I45" s="38"/>
    </row>
    <row r="47" customFormat="false" ht="21.75" hidden="false" customHeight="true" outlineLevel="0" collapsed="false">
      <c r="B47" s="25" t="s">
        <v>93</v>
      </c>
      <c r="C47" s="25"/>
      <c r="D47" s="25"/>
      <c r="E47" s="25"/>
      <c r="F47" s="25"/>
      <c r="G47" s="25"/>
      <c r="H47" s="25"/>
      <c r="I47" s="25"/>
    </row>
    <row r="48" customFormat="false" ht="27.75" hidden="false" customHeight="true" outlineLevel="0" collapsed="false">
      <c r="B48" s="26" t="s">
        <v>94</v>
      </c>
      <c r="C48" s="26" t="s">
        <v>95</v>
      </c>
      <c r="D48" s="26" t="s">
        <v>96</v>
      </c>
      <c r="E48" s="26" t="s">
        <v>75</v>
      </c>
      <c r="F48" s="26" t="s">
        <v>76</v>
      </c>
      <c r="G48" s="26"/>
      <c r="H48" s="27" t="s">
        <v>67</v>
      </c>
      <c r="I48" s="27"/>
    </row>
    <row r="49" customFormat="false" ht="18" hidden="false" customHeight="true" outlineLevel="0" collapsed="false">
      <c r="B49" s="19"/>
      <c r="C49" s="19"/>
      <c r="D49" s="29"/>
      <c r="E49" s="28"/>
      <c r="F49" s="30" t="str">
        <f aca="false">IF(AND(ISNUMBER(D49),ISNUMBER(E49),E49&gt;0),D49/E49,"")</f>
        <v/>
      </c>
      <c r="G49" s="34"/>
      <c r="H49" s="19"/>
      <c r="I49" s="19"/>
    </row>
    <row r="50" customFormat="false" ht="18" hidden="false" customHeight="true" outlineLevel="0" collapsed="false">
      <c r="B50" s="19"/>
      <c r="C50" s="19"/>
      <c r="D50" s="29"/>
      <c r="E50" s="28"/>
      <c r="F50" s="30" t="str">
        <f aca="false">IF(AND(ISNUMBER(D50),ISNUMBER(E50),E50&gt;0),D50/E50,"")</f>
        <v/>
      </c>
      <c r="G50" s="34"/>
      <c r="H50" s="19"/>
      <c r="I50" s="19"/>
    </row>
    <row r="51" customFormat="false" ht="18" hidden="false" customHeight="true" outlineLevel="0" collapsed="false">
      <c r="B51" s="19"/>
      <c r="C51" s="19"/>
      <c r="D51" s="29"/>
      <c r="E51" s="28"/>
      <c r="F51" s="30" t="str">
        <f aca="false">IF(AND(ISNUMBER(D51),ISNUMBER(E51),E51&gt;0),D51/E51,"")</f>
        <v/>
      </c>
      <c r="G51" s="34"/>
      <c r="H51" s="19"/>
      <c r="I51" s="19"/>
    </row>
    <row r="52" customFormat="false" ht="18" hidden="false" customHeight="true" outlineLevel="0" collapsed="false">
      <c r="B52" s="19"/>
      <c r="C52" s="19"/>
      <c r="D52" s="29"/>
      <c r="E52" s="28"/>
      <c r="F52" s="30" t="str">
        <f aca="false">IF(AND(ISNUMBER(D52),ISNUMBER(E52),E52&gt;0),D52/E52,"")</f>
        <v/>
      </c>
      <c r="G52" s="34"/>
      <c r="H52" s="19"/>
      <c r="I52" s="19"/>
    </row>
    <row r="53" customFormat="false" ht="18" hidden="false" customHeight="true" outlineLevel="0" collapsed="false">
      <c r="B53" s="19"/>
      <c r="C53" s="19"/>
      <c r="D53" s="29"/>
      <c r="E53" s="28"/>
      <c r="F53" s="30" t="str">
        <f aca="false">IF(AND(ISNUMBER(D53),ISNUMBER(E53),E53&gt;0),D53/E53,"")</f>
        <v/>
      </c>
      <c r="G53" s="34"/>
      <c r="H53" s="19"/>
      <c r="I53" s="19"/>
    </row>
    <row r="54" customFormat="false" ht="18" hidden="false" customHeight="true" outlineLevel="0" collapsed="false">
      <c r="B54" s="19"/>
      <c r="C54" s="19"/>
      <c r="D54" s="29"/>
      <c r="E54" s="28"/>
      <c r="F54" s="30" t="str">
        <f aca="false">IF(AND(ISNUMBER(D54),ISNUMBER(E54),E54&gt;0),D54/E54,"")</f>
        <v/>
      </c>
      <c r="G54" s="34"/>
      <c r="H54" s="19"/>
      <c r="I54" s="19"/>
    </row>
    <row r="55" customFormat="false" ht="21.75" hidden="false" customHeight="true" outlineLevel="0" collapsed="false">
      <c r="B55" s="31" t="s">
        <v>97</v>
      </c>
      <c r="C55" s="31"/>
      <c r="D55" s="31"/>
      <c r="E55" s="31"/>
      <c r="F55" s="32" t="n">
        <f aca="false">IFERROR(SUM(F49:F54),0)</f>
        <v>0</v>
      </c>
      <c r="G55" s="20"/>
      <c r="H55" s="20"/>
      <c r="I55" s="20"/>
    </row>
    <row r="57" customFormat="false" ht="24" hidden="false" customHeight="true" outlineLevel="0" collapsed="false">
      <c r="B57" s="35" t="s">
        <v>98</v>
      </c>
      <c r="C57" s="35"/>
      <c r="D57" s="35"/>
      <c r="E57" s="35"/>
      <c r="F57" s="36"/>
      <c r="G57" s="36"/>
      <c r="H57" s="37" t="n">
        <f aca="false">IF(C38="Average cost for all storage systems",G45,F55)</f>
        <v>0</v>
      </c>
      <c r="I57" s="36"/>
    </row>
    <row r="59" customFormat="false" ht="25.5" hidden="false" customHeight="true" outlineLevel="0" collapsed="false">
      <c r="B59" s="4" t="s">
        <v>99</v>
      </c>
      <c r="C59" s="4"/>
      <c r="D59" s="4"/>
      <c r="E59" s="4"/>
      <c r="F59" s="4"/>
      <c r="G59" s="4"/>
      <c r="H59" s="4"/>
      <c r="I59" s="4"/>
    </row>
    <row r="60" customFormat="false" ht="31.5" hidden="false" customHeight="true" outlineLevel="0" collapsed="false">
      <c r="B60" s="16" t="s">
        <v>100</v>
      </c>
      <c r="C60" s="16"/>
      <c r="D60" s="16"/>
      <c r="E60" s="16"/>
      <c r="F60" s="16"/>
      <c r="G60" s="16"/>
      <c r="H60" s="16"/>
      <c r="I60" s="16"/>
    </row>
    <row r="61" customFormat="false" ht="21.75" hidden="false" customHeight="true" outlineLevel="0" collapsed="false">
      <c r="B61" s="22" t="s">
        <v>56</v>
      </c>
      <c r="C61" s="23" t="s">
        <v>101</v>
      </c>
      <c r="D61" s="23"/>
      <c r="E61" s="23"/>
      <c r="F61" s="17" t="s">
        <v>58</v>
      </c>
      <c r="G61" s="24" t="s">
        <v>102</v>
      </c>
      <c r="H61" s="24"/>
      <c r="I61" s="24"/>
    </row>
    <row r="63" customFormat="false" ht="21.75" hidden="false" customHeight="true" outlineLevel="0" collapsed="false">
      <c r="B63" s="25" t="s">
        <v>103</v>
      </c>
      <c r="C63" s="25"/>
      <c r="D63" s="25"/>
      <c r="E63" s="25"/>
      <c r="F63" s="25"/>
      <c r="G63" s="25"/>
      <c r="H63" s="25"/>
      <c r="I63" s="25"/>
    </row>
    <row r="64" customFormat="false" ht="21.75" hidden="false" customHeight="true" outlineLevel="0" collapsed="false">
      <c r="B64" s="17" t="s">
        <v>104</v>
      </c>
      <c r="C64" s="17"/>
      <c r="D64" s="17"/>
      <c r="E64" s="17"/>
      <c r="F64" s="17"/>
      <c r="G64" s="29"/>
      <c r="H64" s="19"/>
      <c r="I64" s="19"/>
    </row>
    <row r="66" customFormat="false" ht="21.75" hidden="false" customHeight="true" outlineLevel="0" collapsed="false">
      <c r="B66" s="25" t="s">
        <v>105</v>
      </c>
      <c r="C66" s="25"/>
      <c r="D66" s="25"/>
      <c r="E66" s="25"/>
      <c r="F66" s="25"/>
      <c r="G66" s="25"/>
      <c r="H66" s="25"/>
      <c r="I66" s="25"/>
    </row>
    <row r="67" customFormat="false" ht="27.75" hidden="false" customHeight="true" outlineLevel="0" collapsed="false">
      <c r="B67" s="26" t="s">
        <v>106</v>
      </c>
      <c r="C67" s="26" t="s">
        <v>107</v>
      </c>
      <c r="D67" s="26"/>
      <c r="E67" s="26"/>
      <c r="F67" s="26" t="s">
        <v>76</v>
      </c>
      <c r="G67" s="26" t="s">
        <v>108</v>
      </c>
      <c r="H67" s="27" t="s">
        <v>67</v>
      </c>
      <c r="I67" s="27"/>
    </row>
    <row r="68" customFormat="false" ht="18" hidden="false" customHeight="true" outlineLevel="0" collapsed="false">
      <c r="B68" s="7" t="s">
        <v>109</v>
      </c>
      <c r="C68" s="33" t="s">
        <v>110</v>
      </c>
      <c r="D68" s="39"/>
      <c r="E68" s="29"/>
      <c r="F68" s="30" t="n">
        <f aca="false">IFERROR(D68*E68,0)</f>
        <v>0</v>
      </c>
      <c r="G68" s="33"/>
      <c r="H68" s="19"/>
      <c r="I68" s="19"/>
    </row>
    <row r="69" customFormat="false" ht="18" hidden="false" customHeight="true" outlineLevel="0" collapsed="false">
      <c r="B69" s="7" t="s">
        <v>111</v>
      </c>
      <c r="C69" s="33" t="s">
        <v>110</v>
      </c>
      <c r="D69" s="39"/>
      <c r="E69" s="29"/>
      <c r="F69" s="30" t="n">
        <f aca="false">IFERROR(D69*E69,0)</f>
        <v>0</v>
      </c>
      <c r="G69" s="33"/>
      <c r="H69" s="19"/>
      <c r="I69" s="19"/>
    </row>
    <row r="70" customFormat="false" ht="18" hidden="false" customHeight="true" outlineLevel="0" collapsed="false">
      <c r="B70" s="7" t="s">
        <v>112</v>
      </c>
      <c r="C70" s="33" t="s">
        <v>110</v>
      </c>
      <c r="D70" s="39"/>
      <c r="E70" s="29"/>
      <c r="F70" s="30" t="n">
        <f aca="false">IFERROR(D70*E70,0)</f>
        <v>0</v>
      </c>
      <c r="G70" s="33"/>
      <c r="H70" s="19"/>
      <c r="I70" s="19"/>
    </row>
    <row r="71" customFormat="false" ht="18" hidden="false" customHeight="true" outlineLevel="0" collapsed="false">
      <c r="B71" s="7" t="s">
        <v>113</v>
      </c>
      <c r="C71" s="33" t="s">
        <v>110</v>
      </c>
      <c r="D71" s="39"/>
      <c r="E71" s="29"/>
      <c r="F71" s="30" t="n">
        <f aca="false">IFERROR(D71*E71,0)</f>
        <v>0</v>
      </c>
      <c r="G71" s="33"/>
      <c r="H71" s="19"/>
      <c r="I71" s="19"/>
    </row>
    <row r="72" customFormat="false" ht="18" hidden="false" customHeight="true" outlineLevel="0" collapsed="false">
      <c r="B72" s="7" t="s">
        <v>114</v>
      </c>
      <c r="C72" s="33" t="s">
        <v>115</v>
      </c>
      <c r="D72" s="39"/>
      <c r="E72" s="29"/>
      <c r="F72" s="30" t="n">
        <f aca="false">IFERROR(D72*E72,0)</f>
        <v>0</v>
      </c>
      <c r="G72" s="33"/>
      <c r="H72" s="19"/>
      <c r="I72" s="19"/>
    </row>
    <row r="73" customFormat="false" ht="18" hidden="false" customHeight="true" outlineLevel="0" collapsed="false">
      <c r="B73" s="7" t="s">
        <v>116</v>
      </c>
      <c r="C73" s="33" t="s">
        <v>110</v>
      </c>
      <c r="D73" s="39"/>
      <c r="E73" s="29"/>
      <c r="F73" s="30" t="n">
        <f aca="false">IFERROR(D73*E73,0)</f>
        <v>0</v>
      </c>
      <c r="G73" s="33"/>
      <c r="H73" s="19"/>
      <c r="I73" s="19"/>
    </row>
    <row r="74" customFormat="false" ht="18" hidden="false" customHeight="true" outlineLevel="0" collapsed="false">
      <c r="B74" s="7" t="s">
        <v>117</v>
      </c>
      <c r="C74" s="33" t="s">
        <v>110</v>
      </c>
      <c r="D74" s="39"/>
      <c r="E74" s="29"/>
      <c r="F74" s="30" t="n">
        <f aca="false">IFERROR(D74*E74,0)</f>
        <v>0</v>
      </c>
      <c r="G74" s="33"/>
      <c r="H74" s="19"/>
      <c r="I74" s="19"/>
    </row>
    <row r="75" customFormat="false" ht="18" hidden="false" customHeight="true" outlineLevel="0" collapsed="false">
      <c r="B75" s="7" t="s">
        <v>118</v>
      </c>
      <c r="C75" s="33" t="s">
        <v>119</v>
      </c>
      <c r="D75" s="39"/>
      <c r="E75" s="29"/>
      <c r="F75" s="30" t="n">
        <f aca="false">IFERROR(D75*E75,0)</f>
        <v>0</v>
      </c>
      <c r="G75" s="33"/>
      <c r="H75" s="19"/>
      <c r="I75" s="19"/>
    </row>
    <row r="76" customFormat="false" ht="18" hidden="false" customHeight="true" outlineLevel="0" collapsed="false">
      <c r="B76" s="7" t="s">
        <v>120</v>
      </c>
      <c r="C76" s="33" t="s">
        <v>119</v>
      </c>
      <c r="D76" s="39"/>
      <c r="E76" s="29"/>
      <c r="F76" s="30" t="n">
        <f aca="false">IFERROR(D76*E76,0)</f>
        <v>0</v>
      </c>
      <c r="G76" s="33"/>
      <c r="H76" s="19"/>
      <c r="I76" s="19"/>
    </row>
    <row r="77" customFormat="false" ht="18" hidden="false" customHeight="true" outlineLevel="0" collapsed="false">
      <c r="B77" s="7" t="s">
        <v>121</v>
      </c>
      <c r="C77" s="33" t="s">
        <v>119</v>
      </c>
      <c r="D77" s="39"/>
      <c r="E77" s="29"/>
      <c r="F77" s="30" t="n">
        <f aca="false">IFERROR(D77*E77,0)</f>
        <v>0</v>
      </c>
      <c r="G77" s="33"/>
      <c r="H77" s="19"/>
      <c r="I77" s="19"/>
    </row>
    <row r="78" customFormat="false" ht="18" hidden="false" customHeight="true" outlineLevel="0" collapsed="false">
      <c r="B78" s="7" t="s">
        <v>122</v>
      </c>
      <c r="C78" s="33" t="s">
        <v>110</v>
      </c>
      <c r="D78" s="39"/>
      <c r="E78" s="29"/>
      <c r="F78" s="30" t="n">
        <f aca="false">IFERROR(D78*E78,0)</f>
        <v>0</v>
      </c>
      <c r="G78" s="33"/>
      <c r="H78" s="19"/>
      <c r="I78" s="19"/>
    </row>
    <row r="79" customFormat="false" ht="18" hidden="false" customHeight="true" outlineLevel="0" collapsed="false">
      <c r="B79" s="7" t="s">
        <v>123</v>
      </c>
      <c r="C79" s="33" t="s">
        <v>124</v>
      </c>
      <c r="D79" s="39"/>
      <c r="E79" s="29"/>
      <c r="F79" s="30" t="n">
        <f aca="false">IFERROR(D79*E79,0)</f>
        <v>0</v>
      </c>
      <c r="G79" s="33"/>
      <c r="H79" s="19"/>
      <c r="I79" s="19"/>
    </row>
    <row r="80" customFormat="false" ht="18" hidden="false" customHeight="true" outlineLevel="0" collapsed="false">
      <c r="B80" s="7" t="s">
        <v>125</v>
      </c>
      <c r="C80" s="33" t="s">
        <v>119</v>
      </c>
      <c r="D80" s="39"/>
      <c r="E80" s="29"/>
      <c r="F80" s="30" t="n">
        <f aca="false">IFERROR(D80*E80,0)</f>
        <v>0</v>
      </c>
      <c r="G80" s="33"/>
      <c r="H80" s="19"/>
      <c r="I80" s="19"/>
    </row>
    <row r="81" customFormat="false" ht="18" hidden="false" customHeight="true" outlineLevel="0" collapsed="false">
      <c r="B81" s="7" t="s">
        <v>126</v>
      </c>
      <c r="C81" s="33" t="s">
        <v>119</v>
      </c>
      <c r="D81" s="39"/>
      <c r="E81" s="29"/>
      <c r="F81" s="30" t="n">
        <f aca="false">IFERROR(D81*E81,0)</f>
        <v>0</v>
      </c>
      <c r="G81" s="33"/>
      <c r="H81" s="19"/>
      <c r="I81" s="19"/>
    </row>
    <row r="82" customFormat="false" ht="18" hidden="false" customHeight="true" outlineLevel="0" collapsed="false">
      <c r="B82" s="7" t="s">
        <v>127</v>
      </c>
      <c r="C82" s="33" t="s">
        <v>119</v>
      </c>
      <c r="D82" s="39"/>
      <c r="E82" s="29"/>
      <c r="F82" s="30" t="n">
        <f aca="false">IFERROR(D82*E82,0)</f>
        <v>0</v>
      </c>
      <c r="G82" s="33"/>
      <c r="H82" s="19"/>
      <c r="I82" s="19"/>
    </row>
    <row r="83" customFormat="false" ht="18" hidden="false" customHeight="true" outlineLevel="0" collapsed="false">
      <c r="B83" s="7" t="s">
        <v>128</v>
      </c>
      <c r="C83" s="33"/>
      <c r="D83" s="39"/>
      <c r="E83" s="29"/>
      <c r="F83" s="30" t="n">
        <f aca="false">IFERROR(D83*E83,0)</f>
        <v>0</v>
      </c>
      <c r="G83" s="33"/>
      <c r="H83" s="19"/>
      <c r="I83" s="19"/>
    </row>
    <row r="84" customFormat="false" ht="18" hidden="false" customHeight="true" outlineLevel="0" collapsed="false">
      <c r="B84" s="7" t="s">
        <v>128</v>
      </c>
      <c r="C84" s="33"/>
      <c r="D84" s="39"/>
      <c r="E84" s="29"/>
      <c r="F84" s="30" t="n">
        <f aca="false">IFERROR(D84*E84,0)</f>
        <v>0</v>
      </c>
      <c r="G84" s="33"/>
      <c r="H84" s="19"/>
      <c r="I84" s="19"/>
    </row>
    <row r="85" customFormat="false" ht="18" hidden="false" customHeight="true" outlineLevel="0" collapsed="false">
      <c r="B85" s="7" t="s">
        <v>128</v>
      </c>
      <c r="C85" s="33"/>
      <c r="D85" s="39" t="n">
        <v>0</v>
      </c>
      <c r="E85" s="29" t="n">
        <v>0</v>
      </c>
      <c r="F85" s="30" t="n">
        <f aca="false">IFERROR(D85*E85,0)</f>
        <v>0</v>
      </c>
      <c r="G85" s="33"/>
      <c r="H85" s="19"/>
      <c r="I85" s="19"/>
    </row>
    <row r="86" customFormat="false" ht="21.75" hidden="false" customHeight="true" outlineLevel="0" collapsed="false">
      <c r="B86" s="31" t="s">
        <v>97</v>
      </c>
      <c r="C86" s="31"/>
      <c r="D86" s="31"/>
      <c r="E86" s="31"/>
      <c r="F86" s="32" t="n">
        <f aca="false">SUM(F68:F85)</f>
        <v>0</v>
      </c>
      <c r="G86" s="20"/>
      <c r="H86" s="20"/>
      <c r="I86" s="20"/>
    </row>
    <row r="88" customFormat="false" ht="24" hidden="false" customHeight="true" outlineLevel="0" collapsed="false">
      <c r="B88" s="35" t="s">
        <v>129</v>
      </c>
      <c r="C88" s="35"/>
      <c r="D88" s="35"/>
      <c r="E88" s="35"/>
      <c r="F88" s="36"/>
      <c r="G88" s="36"/>
      <c r="H88" s="37" t="n">
        <f aca="false">IF(C61="Aggregate monthly license spend",G64,F86)</f>
        <v>0</v>
      </c>
      <c r="I88" s="36"/>
    </row>
    <row r="90" customFormat="false" ht="25.5" hidden="false" customHeight="true" outlineLevel="0" collapsed="false">
      <c r="B90" s="4" t="s">
        <v>130</v>
      </c>
      <c r="C90" s="4"/>
      <c r="D90" s="4"/>
      <c r="E90" s="4"/>
      <c r="F90" s="4"/>
      <c r="G90" s="4"/>
      <c r="H90" s="4"/>
      <c r="I90" s="4"/>
    </row>
    <row r="91" customFormat="false" ht="31.5" hidden="false" customHeight="true" outlineLevel="0" collapsed="false">
      <c r="B91" s="16" t="s">
        <v>131</v>
      </c>
      <c r="C91" s="16"/>
      <c r="D91" s="16"/>
      <c r="E91" s="16"/>
      <c r="F91" s="16"/>
      <c r="G91" s="16"/>
      <c r="H91" s="16"/>
      <c r="I91" s="16"/>
    </row>
    <row r="92" customFormat="false" ht="21.75" hidden="false" customHeight="true" outlineLevel="0" collapsed="false">
      <c r="B92" s="22" t="s">
        <v>56</v>
      </c>
      <c r="C92" s="23" t="s">
        <v>132</v>
      </c>
      <c r="D92" s="23"/>
      <c r="E92" s="23"/>
      <c r="F92" s="17" t="s">
        <v>58</v>
      </c>
      <c r="G92" s="24" t="s">
        <v>133</v>
      </c>
      <c r="H92" s="24"/>
      <c r="I92" s="24"/>
    </row>
    <row r="94" customFormat="false" ht="21.75" hidden="false" customHeight="true" outlineLevel="0" collapsed="false">
      <c r="B94" s="25" t="s">
        <v>134</v>
      </c>
      <c r="C94" s="25"/>
      <c r="D94" s="25"/>
      <c r="E94" s="25"/>
      <c r="F94" s="25"/>
      <c r="G94" s="25"/>
      <c r="H94" s="25"/>
      <c r="I94" s="25"/>
    </row>
    <row r="95" customFormat="false" ht="21.75" hidden="false" customHeight="true" outlineLevel="0" collapsed="false">
      <c r="B95" s="17" t="s">
        <v>135</v>
      </c>
      <c r="C95" s="17"/>
      <c r="D95" s="17"/>
      <c r="E95" s="17"/>
      <c r="F95" s="17"/>
      <c r="G95" s="29"/>
      <c r="H95" s="19"/>
      <c r="I95" s="19"/>
    </row>
    <row r="97" customFormat="false" ht="21.75" hidden="false" customHeight="true" outlineLevel="0" collapsed="false">
      <c r="B97" s="25"/>
      <c r="C97" s="25"/>
      <c r="D97" s="25"/>
      <c r="E97" s="25"/>
      <c r="F97" s="25"/>
      <c r="G97" s="25"/>
      <c r="H97" s="25"/>
      <c r="I97" s="25"/>
    </row>
    <row r="98" customFormat="false" ht="27.75" hidden="false" customHeight="true" outlineLevel="0" collapsed="false">
      <c r="B98" s="26"/>
      <c r="C98" s="26"/>
      <c r="D98" s="26"/>
      <c r="E98" s="26"/>
      <c r="F98" s="26"/>
      <c r="G98" s="26" t="s">
        <v>136</v>
      </c>
      <c r="H98" s="27" t="s">
        <v>67</v>
      </c>
      <c r="I98" s="27"/>
    </row>
    <row r="99" customFormat="false" ht="18" hidden="false" customHeight="true" outlineLevel="0" collapsed="false">
      <c r="B99" s="33"/>
      <c r="C99" s="33"/>
      <c r="D99" s="33"/>
      <c r="E99" s="29"/>
      <c r="F99" s="34"/>
      <c r="G99" s="19"/>
      <c r="H99" s="19"/>
      <c r="I99" s="19"/>
    </row>
    <row r="100" customFormat="false" ht="18" hidden="false" customHeight="true" outlineLevel="0" collapsed="false">
      <c r="B100" s="33"/>
      <c r="C100" s="33"/>
      <c r="D100" s="33"/>
      <c r="E100" s="29"/>
      <c r="F100" s="34"/>
      <c r="G100" s="19"/>
      <c r="H100" s="19"/>
      <c r="I100" s="19"/>
    </row>
    <row r="101" customFormat="false" ht="18" hidden="false" customHeight="true" outlineLevel="0" collapsed="false">
      <c r="B101" s="33"/>
      <c r="C101" s="33"/>
      <c r="D101" s="33"/>
      <c r="E101" s="29"/>
      <c r="F101" s="34"/>
      <c r="G101" s="19"/>
      <c r="H101" s="19"/>
      <c r="I101" s="19"/>
    </row>
    <row r="102" customFormat="false" ht="18" hidden="false" customHeight="true" outlineLevel="0" collapsed="false">
      <c r="B102" s="33"/>
      <c r="C102" s="33"/>
      <c r="D102" s="33"/>
      <c r="E102" s="29"/>
      <c r="F102" s="34"/>
      <c r="G102" s="19"/>
      <c r="H102" s="19"/>
      <c r="I102" s="19"/>
    </row>
    <row r="103" customFormat="false" ht="18" hidden="false" customHeight="true" outlineLevel="0" collapsed="false">
      <c r="B103" s="33"/>
      <c r="C103" s="33"/>
      <c r="D103" s="33"/>
      <c r="E103" s="29"/>
      <c r="F103" s="34"/>
      <c r="G103" s="19"/>
      <c r="H103" s="19"/>
      <c r="I103" s="19"/>
    </row>
    <row r="104" customFormat="false" ht="18" hidden="false" customHeight="true" outlineLevel="0" collapsed="false">
      <c r="B104" s="33"/>
      <c r="C104" s="33"/>
      <c r="D104" s="33"/>
      <c r="E104" s="29"/>
      <c r="F104" s="34"/>
      <c r="G104" s="19"/>
      <c r="H104" s="19"/>
      <c r="I104" s="19"/>
    </row>
    <row r="105" customFormat="false" ht="18" hidden="false" customHeight="true" outlineLevel="0" collapsed="false">
      <c r="B105" s="33"/>
      <c r="C105" s="33"/>
      <c r="D105" s="33"/>
      <c r="E105" s="29"/>
      <c r="F105" s="34"/>
      <c r="G105" s="19"/>
      <c r="H105" s="19"/>
      <c r="I105" s="19"/>
    </row>
    <row r="106" customFormat="false" ht="18" hidden="false" customHeight="true" outlineLevel="0" collapsed="false">
      <c r="B106" s="33"/>
      <c r="C106" s="33"/>
      <c r="D106" s="33"/>
      <c r="E106" s="29"/>
      <c r="F106" s="34"/>
      <c r="G106" s="19"/>
      <c r="H106" s="19"/>
      <c r="I106" s="19"/>
    </row>
    <row r="107" customFormat="false" ht="18" hidden="false" customHeight="true" outlineLevel="0" collapsed="false">
      <c r="B107" s="33"/>
      <c r="C107" s="33"/>
      <c r="D107" s="33"/>
      <c r="E107" s="29"/>
      <c r="F107" s="34"/>
      <c r="G107" s="19"/>
      <c r="H107" s="19"/>
      <c r="I107" s="19"/>
    </row>
    <row r="108" customFormat="false" ht="18" hidden="false" customHeight="true" outlineLevel="0" collapsed="false">
      <c r="B108" s="33"/>
      <c r="C108" s="33"/>
      <c r="D108" s="33"/>
      <c r="E108" s="29"/>
      <c r="F108" s="34"/>
      <c r="G108" s="19"/>
      <c r="H108" s="19"/>
      <c r="I108" s="19"/>
    </row>
    <row r="109" customFormat="false" ht="18" hidden="false" customHeight="true" outlineLevel="0" collapsed="false">
      <c r="B109" s="33"/>
      <c r="C109" s="33"/>
      <c r="D109" s="33"/>
      <c r="E109" s="29"/>
      <c r="F109" s="34"/>
      <c r="G109" s="19"/>
      <c r="H109" s="19"/>
      <c r="I109" s="19"/>
    </row>
    <row r="110" customFormat="false" ht="18" hidden="false" customHeight="true" outlineLevel="0" collapsed="false">
      <c r="B110" s="33"/>
      <c r="C110" s="33"/>
      <c r="D110" s="33"/>
      <c r="E110" s="29"/>
      <c r="F110" s="34"/>
      <c r="G110" s="19"/>
      <c r="H110" s="19"/>
      <c r="I110" s="19"/>
    </row>
    <row r="111" customFormat="false" ht="21.75" hidden="false" customHeight="true" outlineLevel="0" collapsed="false">
      <c r="B111" s="31" t="s">
        <v>97</v>
      </c>
      <c r="C111" s="31"/>
      <c r="D111" s="31"/>
      <c r="E111" s="32" t="n">
        <f aca="false">SUM(E99:E110)</f>
        <v>0</v>
      </c>
      <c r="F111" s="20"/>
      <c r="G111" s="20"/>
      <c r="H111" s="20"/>
      <c r="I111" s="20"/>
    </row>
    <row r="113" customFormat="false" ht="24" hidden="false" customHeight="true" outlineLevel="0" collapsed="false">
      <c r="B113" s="35" t="s">
        <v>137</v>
      </c>
      <c r="C113" s="35"/>
      <c r="D113" s="35"/>
      <c r="E113" s="35"/>
      <c r="F113" s="36"/>
      <c r="G113" s="36"/>
      <c r="H113" s="37" t="n">
        <f aca="false">IF(C92="Aggregate monthly application spend",G95,E111)</f>
        <v>0</v>
      </c>
      <c r="I113" s="36"/>
    </row>
    <row r="115" customFormat="false" ht="25.5" hidden="false" customHeight="true" outlineLevel="0" collapsed="false">
      <c r="B115" s="4" t="s">
        <v>138</v>
      </c>
      <c r="C115" s="4"/>
      <c r="D115" s="4"/>
      <c r="E115" s="4"/>
      <c r="F115" s="4"/>
      <c r="G115" s="4"/>
      <c r="H115" s="4"/>
      <c r="I115" s="4"/>
    </row>
    <row r="116" customFormat="false" ht="31.5" hidden="false" customHeight="true" outlineLevel="0" collapsed="false">
      <c r="B116" s="16" t="s">
        <v>139</v>
      </c>
      <c r="C116" s="16"/>
      <c r="D116" s="16"/>
      <c r="E116" s="16"/>
      <c r="F116" s="16"/>
      <c r="G116" s="16"/>
      <c r="H116" s="16"/>
      <c r="I116" s="16"/>
    </row>
    <row r="117" customFormat="false" ht="21.75" hidden="false" customHeight="true" outlineLevel="0" collapsed="false">
      <c r="B117" s="22" t="s">
        <v>56</v>
      </c>
      <c r="C117" s="23" t="s">
        <v>140</v>
      </c>
      <c r="D117" s="23"/>
      <c r="E117" s="23"/>
      <c r="F117" s="17" t="s">
        <v>58</v>
      </c>
      <c r="G117" s="24" t="s">
        <v>141</v>
      </c>
      <c r="H117" s="24"/>
      <c r="I117" s="24"/>
    </row>
    <row r="119" customFormat="false" ht="21.75" hidden="false" customHeight="true" outlineLevel="0" collapsed="false">
      <c r="B119" s="25" t="s">
        <v>142</v>
      </c>
      <c r="C119" s="25"/>
      <c r="D119" s="25"/>
      <c r="E119" s="25"/>
      <c r="F119" s="25"/>
      <c r="G119" s="25"/>
      <c r="H119" s="25"/>
      <c r="I119" s="25"/>
    </row>
    <row r="120" customFormat="false" ht="27.75" hidden="false" customHeight="true" outlineLevel="0" collapsed="false">
      <c r="B120" s="26" t="s">
        <v>143</v>
      </c>
      <c r="C120" s="26" t="s">
        <v>144</v>
      </c>
      <c r="D120" s="26" t="s">
        <v>145</v>
      </c>
      <c r="E120" s="26" t="s">
        <v>146</v>
      </c>
      <c r="F120" s="26" t="s">
        <v>76</v>
      </c>
      <c r="G120" s="26" t="s">
        <v>147</v>
      </c>
      <c r="H120" s="27" t="s">
        <v>67</v>
      </c>
      <c r="I120" s="27"/>
    </row>
    <row r="121" customFormat="false" ht="19.5" hidden="false" customHeight="true" outlineLevel="0" collapsed="false">
      <c r="B121" s="7" t="s">
        <v>148</v>
      </c>
      <c r="C121" s="40" t="n">
        <v>0.1</v>
      </c>
      <c r="D121" s="30" t="n">
        <f aca="false">H34*12</f>
        <v>0</v>
      </c>
      <c r="E121" s="30" t="n">
        <f aca="false">C121*D121</f>
        <v>0</v>
      </c>
      <c r="F121" s="30" t="n">
        <f aca="false">E121/12</f>
        <v>0</v>
      </c>
      <c r="G121" s="12" t="s">
        <v>149</v>
      </c>
      <c r="H121" s="33" t="s">
        <v>150</v>
      </c>
      <c r="I121" s="33"/>
    </row>
    <row r="122" customFormat="false" ht="19.5" hidden="false" customHeight="true" outlineLevel="0" collapsed="false">
      <c r="B122" s="7" t="s">
        <v>151</v>
      </c>
      <c r="C122" s="40" t="n">
        <v>0.2</v>
      </c>
      <c r="D122" s="30" t="n">
        <f aca="false">H88*12</f>
        <v>0</v>
      </c>
      <c r="E122" s="30" t="n">
        <f aca="false">C122*D122</f>
        <v>0</v>
      </c>
      <c r="F122" s="30" t="n">
        <f aca="false">E122/12</f>
        <v>0</v>
      </c>
      <c r="G122" s="12" t="s">
        <v>152</v>
      </c>
      <c r="H122" s="33" t="s">
        <v>153</v>
      </c>
      <c r="I122" s="33"/>
    </row>
    <row r="123" customFormat="false" ht="21.75" hidden="false" customHeight="true" outlineLevel="0" collapsed="false">
      <c r="B123" s="31" t="s">
        <v>70</v>
      </c>
      <c r="C123" s="31"/>
      <c r="D123" s="31"/>
      <c r="E123" s="31"/>
      <c r="F123" s="32" t="n">
        <f aca="false">SUM(F121:F122)</f>
        <v>0</v>
      </c>
      <c r="G123" s="20"/>
      <c r="H123" s="20"/>
      <c r="I123" s="20"/>
    </row>
    <row r="125" customFormat="false" ht="21.75" hidden="false" customHeight="true" outlineLevel="0" collapsed="false">
      <c r="B125" s="25" t="s">
        <v>154</v>
      </c>
      <c r="C125" s="25"/>
      <c r="D125" s="25"/>
      <c r="E125" s="25"/>
      <c r="F125" s="25"/>
      <c r="G125" s="25"/>
      <c r="H125" s="25"/>
      <c r="I125" s="25"/>
    </row>
    <row r="126" customFormat="false" ht="21.75" hidden="false" customHeight="true" outlineLevel="0" collapsed="false">
      <c r="B126" s="17" t="s">
        <v>155</v>
      </c>
      <c r="C126" s="17"/>
      <c r="D126" s="17"/>
      <c r="E126" s="17"/>
      <c r="F126" s="29"/>
      <c r="G126" s="19"/>
      <c r="H126" s="19"/>
      <c r="I126" s="19"/>
    </row>
    <row r="128" customFormat="false" ht="24" hidden="false" customHeight="true" outlineLevel="0" collapsed="false">
      <c r="B128" s="35" t="s">
        <v>156</v>
      </c>
      <c r="C128" s="35"/>
      <c r="D128" s="35"/>
      <c r="E128" s="35"/>
      <c r="F128" s="36"/>
      <c r="G128" s="36"/>
      <c r="H128" s="37" t="n">
        <f aca="false">IF(C117="Percentage-based (recommended)",F123,F126)</f>
        <v>0</v>
      </c>
      <c r="I128" s="36"/>
    </row>
    <row r="130" customFormat="false" ht="25.5" hidden="false" customHeight="true" outlineLevel="0" collapsed="false">
      <c r="B130" s="4" t="s">
        <v>157</v>
      </c>
      <c r="C130" s="4"/>
      <c r="D130" s="4"/>
      <c r="E130" s="4"/>
      <c r="F130" s="4"/>
      <c r="G130" s="4"/>
      <c r="H130" s="4"/>
      <c r="I130" s="4"/>
    </row>
    <row r="131" customFormat="false" ht="31.5" hidden="false" customHeight="true" outlineLevel="0" collapsed="false">
      <c r="B131" s="16" t="s">
        <v>158</v>
      </c>
      <c r="C131" s="16"/>
      <c r="D131" s="16"/>
      <c r="E131" s="16"/>
      <c r="F131" s="16"/>
      <c r="G131" s="16"/>
      <c r="H131" s="16"/>
      <c r="I131" s="16"/>
    </row>
    <row r="132" customFormat="false" ht="21.75" hidden="false" customHeight="true" outlineLevel="0" collapsed="false">
      <c r="B132" s="22" t="s">
        <v>56</v>
      </c>
      <c r="C132" s="23" t="s">
        <v>159</v>
      </c>
      <c r="D132" s="23"/>
      <c r="E132" s="23"/>
      <c r="F132" s="17" t="s">
        <v>58</v>
      </c>
      <c r="G132" s="24" t="s">
        <v>160</v>
      </c>
      <c r="H132" s="24"/>
      <c r="I132" s="24"/>
    </row>
    <row r="134" customFormat="false" ht="21.75" hidden="false" customHeight="true" outlineLevel="0" collapsed="false">
      <c r="B134" s="25" t="s">
        <v>161</v>
      </c>
      <c r="C134" s="25"/>
      <c r="D134" s="25"/>
      <c r="E134" s="25"/>
      <c r="F134" s="25"/>
      <c r="G134" s="25"/>
      <c r="H134" s="25"/>
      <c r="I134" s="25"/>
    </row>
    <row r="135" customFormat="false" ht="27.75" hidden="false" customHeight="true" outlineLevel="0" collapsed="false">
      <c r="B135" s="26" t="s">
        <v>162</v>
      </c>
      <c r="C135" s="26"/>
      <c r="D135" s="26"/>
      <c r="E135" s="26"/>
      <c r="F135" s="26" t="s">
        <v>76</v>
      </c>
      <c r="G135" s="26" t="s">
        <v>163</v>
      </c>
      <c r="H135" s="27" t="s">
        <v>67</v>
      </c>
      <c r="I135" s="27"/>
    </row>
    <row r="136" customFormat="false" ht="19.5" hidden="false" customHeight="true" outlineLevel="0" collapsed="false">
      <c r="B136" s="7" t="s">
        <v>164</v>
      </c>
      <c r="C136" s="39"/>
      <c r="D136" s="29"/>
      <c r="E136" s="39"/>
      <c r="F136" s="30" t="n">
        <f aca="false">C136*D136*E136</f>
        <v>0</v>
      </c>
      <c r="G136" s="12" t="s">
        <v>165</v>
      </c>
      <c r="H136" s="19"/>
      <c r="I136" s="19"/>
    </row>
    <row r="137" customFormat="false" ht="19.5" hidden="false" customHeight="true" outlineLevel="0" collapsed="false">
      <c r="B137" s="7" t="s">
        <v>166</v>
      </c>
      <c r="C137" s="39"/>
      <c r="D137" s="29"/>
      <c r="E137" s="39"/>
      <c r="F137" s="30" t="n">
        <f aca="false">C137*D137*E137</f>
        <v>0</v>
      </c>
      <c r="G137" s="12" t="s">
        <v>167</v>
      </c>
      <c r="H137" s="19"/>
      <c r="I137" s="19"/>
    </row>
    <row r="138" customFormat="false" ht="19.5" hidden="false" customHeight="true" outlineLevel="0" collapsed="false">
      <c r="B138" s="7" t="s">
        <v>168</v>
      </c>
      <c r="C138" s="39"/>
      <c r="D138" s="29"/>
      <c r="E138" s="39"/>
      <c r="F138" s="30" t="n">
        <f aca="false">C138*D138*E138</f>
        <v>0</v>
      </c>
      <c r="G138" s="12" t="s">
        <v>169</v>
      </c>
      <c r="H138" s="19"/>
      <c r="I138" s="19"/>
    </row>
    <row r="139" customFormat="false" ht="21.75" hidden="false" customHeight="true" outlineLevel="0" collapsed="false">
      <c r="B139" s="31" t="s">
        <v>70</v>
      </c>
      <c r="C139" s="31"/>
      <c r="D139" s="31"/>
      <c r="E139" s="31"/>
      <c r="F139" s="32" t="n">
        <f aca="false">SUM(F136:F138)</f>
        <v>0</v>
      </c>
      <c r="G139" s="20"/>
      <c r="H139" s="20"/>
      <c r="I139" s="20"/>
    </row>
    <row r="141" customFormat="false" ht="21.75" hidden="false" customHeight="true" outlineLevel="0" collapsed="false">
      <c r="B141" s="25" t="s">
        <v>170</v>
      </c>
      <c r="C141" s="25"/>
      <c r="D141" s="25"/>
      <c r="E141" s="25"/>
      <c r="F141" s="25"/>
      <c r="G141" s="25"/>
      <c r="H141" s="25"/>
      <c r="I141" s="25"/>
    </row>
    <row r="142" customFormat="false" ht="21.75" hidden="false" customHeight="true" outlineLevel="0" collapsed="false">
      <c r="B142" s="17" t="s">
        <v>171</v>
      </c>
      <c r="C142" s="17"/>
      <c r="D142" s="17"/>
      <c r="E142" s="17"/>
      <c r="F142" s="29"/>
      <c r="G142" s="19"/>
      <c r="H142" s="19"/>
      <c r="I142" s="19"/>
    </row>
    <row r="144" customFormat="false" ht="24" hidden="false" customHeight="true" outlineLevel="0" collapsed="false">
      <c r="B144" s="35" t="s">
        <v>172</v>
      </c>
      <c r="C144" s="35"/>
      <c r="D144" s="35"/>
      <c r="E144" s="35"/>
      <c r="F144" s="36"/>
      <c r="G144" s="36"/>
      <c r="H144" s="37" t="n">
        <f aca="false">IF(C132="Detailed (hourly rate × hours per category)",F139,F142)</f>
        <v>0</v>
      </c>
      <c r="I144" s="36"/>
    </row>
    <row r="146" customFormat="false" ht="25.5" hidden="false" customHeight="true" outlineLevel="0" collapsed="false">
      <c r="B146" s="4" t="s">
        <v>173</v>
      </c>
      <c r="C146" s="4"/>
      <c r="D146" s="4"/>
      <c r="E146" s="4"/>
      <c r="F146" s="4"/>
      <c r="G146" s="4"/>
      <c r="H146" s="4"/>
      <c r="I146" s="4"/>
    </row>
    <row r="147" customFormat="false" ht="31.5" hidden="false" customHeight="true" outlineLevel="0" collapsed="false">
      <c r="B147" s="16" t="s">
        <v>174</v>
      </c>
      <c r="C147" s="16"/>
      <c r="D147" s="16"/>
      <c r="E147" s="16"/>
      <c r="F147" s="16"/>
      <c r="G147" s="16"/>
      <c r="H147" s="16"/>
      <c r="I147" s="16"/>
    </row>
    <row r="148" customFormat="false" ht="21.75" hidden="false" customHeight="true" outlineLevel="0" collapsed="false">
      <c r="B148" s="22" t="s">
        <v>56</v>
      </c>
      <c r="C148" s="23" t="s">
        <v>175</v>
      </c>
      <c r="D148" s="23"/>
      <c r="E148" s="23"/>
      <c r="F148" s="17" t="s">
        <v>58</v>
      </c>
      <c r="G148" s="24" t="s">
        <v>176</v>
      </c>
      <c r="H148" s="24"/>
      <c r="I148" s="24"/>
    </row>
    <row r="150" customFormat="false" ht="21.75" hidden="false" customHeight="true" outlineLevel="0" collapsed="false">
      <c r="B150" s="25" t="s">
        <v>177</v>
      </c>
      <c r="C150" s="25"/>
      <c r="D150" s="25"/>
      <c r="E150" s="25"/>
      <c r="F150" s="25"/>
      <c r="G150" s="25"/>
      <c r="H150" s="25"/>
      <c r="I150" s="25"/>
    </row>
    <row r="151" customFormat="false" ht="27.75" hidden="false" customHeight="true" outlineLevel="0" collapsed="false">
      <c r="B151" s="26" t="s">
        <v>178</v>
      </c>
      <c r="C151" s="26"/>
      <c r="D151" s="26" t="s">
        <v>179</v>
      </c>
      <c r="E151" s="26" t="s">
        <v>76</v>
      </c>
      <c r="F151" s="26"/>
      <c r="G151" s="26" t="s">
        <v>180</v>
      </c>
      <c r="H151" s="27" t="s">
        <v>67</v>
      </c>
      <c r="I151" s="27"/>
    </row>
    <row r="152" customFormat="false" ht="19.5" hidden="false" customHeight="true" outlineLevel="0" collapsed="false">
      <c r="B152" s="7" t="s">
        <v>181</v>
      </c>
      <c r="C152" s="28"/>
      <c r="D152" s="29" t="n">
        <v>45</v>
      </c>
      <c r="E152" s="30" t="n">
        <f aca="false">C152*D152</f>
        <v>0</v>
      </c>
      <c r="F152" s="34"/>
      <c r="G152" s="12" t="s">
        <v>182</v>
      </c>
      <c r="H152" s="19"/>
      <c r="I152" s="19"/>
    </row>
    <row r="153" customFormat="false" ht="19.5" hidden="false" customHeight="true" outlineLevel="0" collapsed="false">
      <c r="B153" s="7" t="s">
        <v>183</v>
      </c>
      <c r="C153" s="28"/>
      <c r="D153" s="29" t="n">
        <v>90</v>
      </c>
      <c r="E153" s="30" t="n">
        <f aca="false">C153*D153</f>
        <v>0</v>
      </c>
      <c r="F153" s="34"/>
      <c r="G153" s="12" t="s">
        <v>184</v>
      </c>
      <c r="H153" s="19"/>
      <c r="I153" s="19"/>
    </row>
    <row r="154" customFormat="false" ht="19.5" hidden="false" customHeight="true" outlineLevel="0" collapsed="false">
      <c r="B154" s="7" t="s">
        <v>185</v>
      </c>
      <c r="C154" s="28"/>
      <c r="D154" s="29" t="n">
        <v>135</v>
      </c>
      <c r="E154" s="30" t="n">
        <f aca="false">C154*D154</f>
        <v>0</v>
      </c>
      <c r="F154" s="34"/>
      <c r="G154" s="12" t="s">
        <v>186</v>
      </c>
      <c r="H154" s="19"/>
      <c r="I154" s="19"/>
    </row>
    <row r="155" customFormat="false" ht="19.5" hidden="false" customHeight="true" outlineLevel="0" collapsed="false">
      <c r="B155" s="7" t="s">
        <v>187</v>
      </c>
      <c r="C155" s="28" t="n">
        <v>0</v>
      </c>
      <c r="D155" s="29" t="n">
        <v>180</v>
      </c>
      <c r="E155" s="30" t="n">
        <f aca="false">C155*D155</f>
        <v>0</v>
      </c>
      <c r="F155" s="34"/>
      <c r="G155" s="12" t="s">
        <v>188</v>
      </c>
      <c r="H155" s="19"/>
      <c r="I155" s="19"/>
    </row>
    <row r="156" customFormat="false" ht="19.5" hidden="false" customHeight="true" outlineLevel="0" collapsed="false">
      <c r="B156" s="7" t="s">
        <v>189</v>
      </c>
      <c r="C156" s="28" t="n">
        <v>0</v>
      </c>
      <c r="D156" s="29" t="n">
        <v>225</v>
      </c>
      <c r="E156" s="30" t="n">
        <f aca="false">C156*D156</f>
        <v>0</v>
      </c>
      <c r="F156" s="34"/>
      <c r="G156" s="12" t="s">
        <v>190</v>
      </c>
      <c r="H156" s="19"/>
      <c r="I156" s="19"/>
    </row>
    <row r="157" customFormat="false" ht="21.75" hidden="false" customHeight="true" outlineLevel="0" collapsed="false">
      <c r="B157" s="31" t="s">
        <v>70</v>
      </c>
      <c r="C157" s="31"/>
      <c r="D157" s="31"/>
      <c r="E157" s="32" t="n">
        <f aca="false">SUM(E152:E156)</f>
        <v>0</v>
      </c>
      <c r="F157" s="20"/>
      <c r="G157" s="20"/>
      <c r="H157" s="20"/>
      <c r="I157" s="20"/>
    </row>
    <row r="159" customFormat="false" ht="21.75" hidden="false" customHeight="true" outlineLevel="0" collapsed="false">
      <c r="B159" s="25" t="s">
        <v>191</v>
      </c>
      <c r="C159" s="25"/>
      <c r="D159" s="25"/>
      <c r="E159" s="25"/>
      <c r="F159" s="25"/>
      <c r="G159" s="25"/>
      <c r="H159" s="25"/>
      <c r="I159" s="25"/>
    </row>
    <row r="160" customFormat="false" ht="21.75" hidden="false" customHeight="true" outlineLevel="0" collapsed="false">
      <c r="B160" s="17" t="s">
        <v>192</v>
      </c>
      <c r="C160" s="17"/>
      <c r="D160" s="17"/>
      <c r="E160" s="29"/>
      <c r="F160" s="19"/>
      <c r="G160" s="19"/>
      <c r="H160" s="19"/>
      <c r="I160" s="19"/>
    </row>
    <row r="162" customFormat="false" ht="24" hidden="false" customHeight="true" outlineLevel="0" collapsed="false">
      <c r="B162" s="35" t="s">
        <v>193</v>
      </c>
      <c r="C162" s="35"/>
      <c r="D162" s="35"/>
      <c r="E162" s="35"/>
      <c r="F162" s="36"/>
      <c r="G162" s="36"/>
      <c r="H162" s="37" t="n">
        <f aca="false">IF(C148="Per-NIC count × rate",E157,E160)</f>
        <v>0</v>
      </c>
      <c r="I162" s="36"/>
    </row>
    <row r="164" customFormat="false" ht="25.5" hidden="false" customHeight="true" outlineLevel="0" collapsed="false">
      <c r="B164" s="4" t="s">
        <v>194</v>
      </c>
      <c r="C164" s="4"/>
      <c r="D164" s="4"/>
      <c r="E164" s="4"/>
      <c r="F164" s="4"/>
      <c r="G164" s="4"/>
      <c r="H164" s="4"/>
      <c r="I164" s="4"/>
    </row>
    <row r="165" customFormat="false" ht="31.5" hidden="false" customHeight="true" outlineLevel="0" collapsed="false">
      <c r="B165" s="16" t="s">
        <v>195</v>
      </c>
      <c r="C165" s="16"/>
      <c r="D165" s="16"/>
      <c r="E165" s="16"/>
      <c r="F165" s="16"/>
      <c r="G165" s="16"/>
      <c r="H165" s="16"/>
      <c r="I165" s="16"/>
    </row>
    <row r="166" customFormat="false" ht="21.75" hidden="false" customHeight="true" outlineLevel="0" collapsed="false">
      <c r="B166" s="22" t="s">
        <v>56</v>
      </c>
      <c r="C166" s="23" t="s">
        <v>196</v>
      </c>
      <c r="D166" s="23"/>
      <c r="E166" s="23"/>
      <c r="F166" s="17" t="s">
        <v>58</v>
      </c>
      <c r="G166" s="24" t="s">
        <v>197</v>
      </c>
      <c r="H166" s="24"/>
      <c r="I166" s="24"/>
    </row>
    <row r="168" customFormat="false" ht="21.75" hidden="false" customHeight="true" outlineLevel="0" collapsed="false">
      <c r="B168" s="25" t="s">
        <v>198</v>
      </c>
      <c r="C168" s="25"/>
      <c r="D168" s="25"/>
      <c r="E168" s="25"/>
      <c r="F168" s="25"/>
      <c r="G168" s="25"/>
      <c r="H168" s="25"/>
      <c r="I168" s="25"/>
    </row>
    <row r="169" customFormat="false" ht="27.75" hidden="false" customHeight="true" outlineLevel="0" collapsed="false">
      <c r="B169" s="26" t="s">
        <v>199</v>
      </c>
      <c r="C169" s="26" t="s">
        <v>200</v>
      </c>
      <c r="D169" s="26"/>
      <c r="E169" s="26" t="s">
        <v>76</v>
      </c>
      <c r="F169" s="26"/>
      <c r="G169" s="26" t="s">
        <v>163</v>
      </c>
      <c r="H169" s="27" t="s">
        <v>67</v>
      </c>
      <c r="I169" s="27"/>
    </row>
    <row r="170" customFormat="false" ht="19.5" hidden="false" customHeight="true" outlineLevel="0" collapsed="false">
      <c r="B170" s="7" t="s">
        <v>201</v>
      </c>
      <c r="C170" s="29" t="n">
        <v>0.08</v>
      </c>
      <c r="D170" s="28"/>
      <c r="E170" s="30" t="n">
        <f aca="false">C170*D170</f>
        <v>0</v>
      </c>
      <c r="F170" s="34"/>
      <c r="G170" s="12" t="s">
        <v>202</v>
      </c>
      <c r="H170" s="19"/>
      <c r="I170" s="19"/>
    </row>
    <row r="171" customFormat="false" ht="19.5" hidden="false" customHeight="true" outlineLevel="0" collapsed="false">
      <c r="B171" s="7" t="s">
        <v>203</v>
      </c>
      <c r="C171" s="29" t="n">
        <v>50</v>
      </c>
      <c r="D171" s="28"/>
      <c r="E171" s="30" t="n">
        <f aca="false">C171*D171</f>
        <v>0</v>
      </c>
      <c r="F171" s="34"/>
      <c r="G171" s="12" t="s">
        <v>204</v>
      </c>
      <c r="H171" s="19"/>
      <c r="I171" s="19"/>
    </row>
    <row r="172" customFormat="false" ht="21.75" hidden="false" customHeight="true" outlineLevel="0" collapsed="false">
      <c r="B172" s="31" t="s">
        <v>70</v>
      </c>
      <c r="C172" s="31"/>
      <c r="D172" s="31"/>
      <c r="E172" s="32" t="n">
        <f aca="false">SUM(E170:E171)</f>
        <v>0</v>
      </c>
      <c r="F172" s="20"/>
      <c r="G172" s="20"/>
      <c r="H172" s="20"/>
      <c r="I172" s="20"/>
    </row>
    <row r="174" customFormat="false" ht="21.75" hidden="false" customHeight="true" outlineLevel="0" collapsed="false">
      <c r="B174" s="25" t="s">
        <v>205</v>
      </c>
      <c r="C174" s="25"/>
      <c r="D174" s="25"/>
      <c r="E174" s="25"/>
      <c r="F174" s="25"/>
      <c r="G174" s="25"/>
      <c r="H174" s="25"/>
      <c r="I174" s="25"/>
    </row>
    <row r="175" customFormat="false" ht="21.75" hidden="false" customHeight="true" outlineLevel="0" collapsed="false">
      <c r="B175" s="17" t="s">
        <v>206</v>
      </c>
      <c r="C175" s="17"/>
      <c r="D175" s="17"/>
      <c r="E175" s="29"/>
      <c r="F175" s="19"/>
      <c r="G175" s="19"/>
      <c r="H175" s="19"/>
      <c r="I175" s="19"/>
    </row>
    <row r="177" customFormat="false" ht="24" hidden="false" customHeight="true" outlineLevel="0" collapsed="false">
      <c r="B177" s="35" t="s">
        <v>207</v>
      </c>
      <c r="C177" s="35"/>
      <c r="D177" s="35"/>
      <c r="E177" s="35"/>
      <c r="F177" s="36"/>
      <c r="G177" s="36"/>
      <c r="H177" s="37" t="n">
        <f aca="false">IF(C166="Detailed (kWh + rack rate)",E172,E175)</f>
        <v>0</v>
      </c>
      <c r="I177" s="36"/>
    </row>
    <row r="178" customFormat="false" ht="15" hidden="false" customHeight="true" outlineLevel="0" collapsed="false">
      <c r="F178" s="17" t="s">
        <v>58</v>
      </c>
      <c r="G178" s="24" t="s">
        <v>208</v>
      </c>
      <c r="H178" s="24"/>
      <c r="I178" s="24"/>
    </row>
    <row r="179" customFormat="false" ht="25.5" hidden="false" customHeight="true" outlineLevel="0" collapsed="false">
      <c r="B179" s="4" t="s">
        <v>209</v>
      </c>
      <c r="C179" s="4"/>
      <c r="D179" s="4"/>
      <c r="E179" s="4"/>
      <c r="F179" s="4"/>
      <c r="G179" s="4"/>
      <c r="H179" s="4"/>
      <c r="I179" s="4"/>
    </row>
    <row r="180" customFormat="false" ht="31.5" hidden="false" customHeight="true" outlineLevel="0" collapsed="false">
      <c r="B180" s="16" t="s">
        <v>210</v>
      </c>
      <c r="C180" s="16"/>
      <c r="D180" s="16"/>
      <c r="E180" s="16"/>
      <c r="F180" s="16"/>
      <c r="G180" s="16"/>
      <c r="H180" s="16"/>
      <c r="I180" s="16"/>
    </row>
    <row r="181" customFormat="false" ht="21.75" hidden="false" customHeight="true" outlineLevel="0" collapsed="false">
      <c r="B181" s="25" t="s">
        <v>211</v>
      </c>
      <c r="C181" s="25"/>
      <c r="D181" s="25"/>
      <c r="E181" s="25"/>
      <c r="F181" s="25"/>
      <c r="G181" s="25"/>
      <c r="H181" s="25"/>
      <c r="I181" s="25"/>
    </row>
    <row r="182" customFormat="false" ht="27.75" hidden="false" customHeight="true" outlineLevel="0" collapsed="false">
      <c r="B182" s="26" t="s">
        <v>212</v>
      </c>
      <c r="C182" s="26" t="s">
        <v>213</v>
      </c>
      <c r="D182" s="26" t="s">
        <v>214</v>
      </c>
      <c r="E182" s="26" t="s">
        <v>215</v>
      </c>
      <c r="F182" s="26" t="s">
        <v>216</v>
      </c>
      <c r="G182" s="26" t="s">
        <v>217</v>
      </c>
      <c r="H182" s="27" t="s">
        <v>67</v>
      </c>
      <c r="I182" s="27"/>
    </row>
    <row r="183" customFormat="false" ht="18" hidden="false" customHeight="true" outlineLevel="0" collapsed="false">
      <c r="B183" s="33"/>
      <c r="C183" s="33"/>
      <c r="D183" s="33"/>
      <c r="E183" s="33"/>
      <c r="F183" s="29" t="n">
        <v>0</v>
      </c>
      <c r="G183" s="33"/>
      <c r="H183" s="19"/>
      <c r="I183" s="19"/>
    </row>
    <row r="184" customFormat="false" ht="18" hidden="false" customHeight="true" outlineLevel="0" collapsed="false">
      <c r="B184" s="33"/>
      <c r="C184" s="33"/>
      <c r="D184" s="33"/>
      <c r="E184" s="33"/>
      <c r="F184" s="29" t="n">
        <v>0</v>
      </c>
      <c r="G184" s="33"/>
      <c r="H184" s="19"/>
      <c r="I184" s="19"/>
    </row>
    <row r="185" customFormat="false" ht="18" hidden="false" customHeight="true" outlineLevel="0" collapsed="false">
      <c r="B185" s="33"/>
      <c r="C185" s="33"/>
      <c r="D185" s="33"/>
      <c r="E185" s="33"/>
      <c r="F185" s="29" t="n">
        <v>0</v>
      </c>
      <c r="G185" s="33"/>
      <c r="H185" s="19"/>
      <c r="I185" s="19"/>
    </row>
    <row r="186" customFormat="false" ht="18" hidden="false" customHeight="true" outlineLevel="0" collapsed="false">
      <c r="B186" s="33"/>
      <c r="C186" s="33"/>
      <c r="D186" s="33"/>
      <c r="E186" s="33"/>
      <c r="F186" s="29" t="n">
        <v>0</v>
      </c>
      <c r="G186" s="33"/>
      <c r="H186" s="19"/>
      <c r="I186" s="19"/>
    </row>
    <row r="187" customFormat="false" ht="18" hidden="false" customHeight="true" outlineLevel="0" collapsed="false">
      <c r="B187" s="33"/>
      <c r="C187" s="33"/>
      <c r="D187" s="33"/>
      <c r="E187" s="33"/>
      <c r="F187" s="29" t="n">
        <v>0</v>
      </c>
      <c r="G187" s="33"/>
      <c r="H187" s="19"/>
      <c r="I187" s="19"/>
    </row>
    <row r="188" customFormat="false" ht="18" hidden="false" customHeight="true" outlineLevel="0" collapsed="false">
      <c r="B188" s="33"/>
      <c r="C188" s="33"/>
      <c r="D188" s="33"/>
      <c r="E188" s="33"/>
      <c r="F188" s="29" t="n">
        <v>0</v>
      </c>
      <c r="G188" s="33"/>
      <c r="H188" s="19"/>
      <c r="I188" s="19"/>
    </row>
    <row r="189" customFormat="false" ht="18" hidden="false" customHeight="true" outlineLevel="0" collapsed="false">
      <c r="B189" s="33"/>
      <c r="C189" s="33"/>
      <c r="D189" s="33"/>
      <c r="E189" s="33"/>
      <c r="F189" s="29" t="n">
        <v>0</v>
      </c>
      <c r="G189" s="33"/>
      <c r="H189" s="19"/>
      <c r="I189" s="19"/>
    </row>
    <row r="190" customFormat="false" ht="18" hidden="false" customHeight="true" outlineLevel="0" collapsed="false">
      <c r="B190" s="33"/>
      <c r="C190" s="33"/>
      <c r="D190" s="33"/>
      <c r="E190" s="33"/>
      <c r="F190" s="29" t="n">
        <v>0</v>
      </c>
      <c r="G190" s="33"/>
      <c r="H190" s="19"/>
      <c r="I190" s="19"/>
    </row>
    <row r="191" customFormat="false" ht="18" hidden="false" customHeight="true" outlineLevel="0" collapsed="false">
      <c r="B191" s="33"/>
      <c r="C191" s="33"/>
      <c r="D191" s="33"/>
      <c r="E191" s="33"/>
      <c r="F191" s="29" t="n">
        <v>0</v>
      </c>
      <c r="G191" s="33"/>
      <c r="H191" s="19"/>
      <c r="I191" s="19"/>
    </row>
    <row r="192" customFormat="false" ht="18" hidden="false" customHeight="true" outlineLevel="0" collapsed="false">
      <c r="B192" s="33"/>
      <c r="C192" s="33"/>
      <c r="D192" s="33"/>
      <c r="E192" s="33"/>
      <c r="F192" s="29" t="n">
        <v>0</v>
      </c>
      <c r="G192" s="33"/>
      <c r="H192" s="19"/>
      <c r="I192" s="19"/>
    </row>
    <row r="193" customFormat="false" ht="21.75" hidden="false" customHeight="true" outlineLevel="0" collapsed="false">
      <c r="B193" s="31" t="s">
        <v>218</v>
      </c>
      <c r="C193" s="31"/>
      <c r="D193" s="31"/>
      <c r="E193" s="31"/>
      <c r="F193" s="32" t="n">
        <f aca="false">SUM(F183:F192)</f>
        <v>0</v>
      </c>
      <c r="G193" s="20"/>
      <c r="H193" s="20"/>
      <c r="I193" s="20"/>
    </row>
    <row r="195" customFormat="false" ht="24" hidden="false" customHeight="true" outlineLevel="0" collapsed="false">
      <c r="B195" s="35" t="s">
        <v>219</v>
      </c>
      <c r="C195" s="35"/>
      <c r="D195" s="35"/>
      <c r="E195" s="35"/>
      <c r="F195" s="36"/>
      <c r="G195" s="36"/>
      <c r="H195" s="37" t="n">
        <f aca="false">F193</f>
        <v>0</v>
      </c>
      <c r="I195" s="36"/>
    </row>
    <row r="198" customFormat="false" ht="33.75" hidden="false" customHeight="true" outlineLevel="0" collapsed="false">
      <c r="B198" s="41" t="s">
        <v>220</v>
      </c>
      <c r="C198" s="41"/>
      <c r="D198" s="41"/>
      <c r="E198" s="41"/>
      <c r="F198" s="41"/>
      <c r="G198" s="41"/>
      <c r="H198" s="41"/>
      <c r="I198" s="41"/>
    </row>
    <row r="199" customFormat="false" ht="30" hidden="false" customHeight="true" outlineLevel="0" collapsed="false">
      <c r="B199" s="42" t="s">
        <v>221</v>
      </c>
      <c r="C199" s="42"/>
      <c r="D199" s="42"/>
      <c r="E199" s="42"/>
      <c r="F199" s="42"/>
      <c r="G199" s="42"/>
      <c r="H199" s="43" t="n">
        <f aca="false">H34 + H57 + H88 + H113 + H128 + H144 + H162 + H177 + H195</f>
        <v>0</v>
      </c>
      <c r="I199" s="44"/>
    </row>
    <row r="200" customFormat="false" ht="30" hidden="false" customHeight="true" outlineLevel="0" collapsed="false">
      <c r="B200" s="45" t="s">
        <v>222</v>
      </c>
      <c r="C200" s="45"/>
      <c r="D200" s="45"/>
      <c r="E200" s="45"/>
      <c r="F200" s="45"/>
      <c r="G200" s="45"/>
      <c r="H200" s="46" t="n">
        <f aca="false">H199*12</f>
        <v>0</v>
      </c>
      <c r="I200" s="47"/>
    </row>
  </sheetData>
  <mergeCells count="174">
    <mergeCell ref="B2:I2"/>
    <mergeCell ref="B10:I10"/>
    <mergeCell ref="B11:I11"/>
    <mergeCell ref="C12:E12"/>
    <mergeCell ref="G12:I12"/>
    <mergeCell ref="B14:I14"/>
    <mergeCell ref="H15:I15"/>
    <mergeCell ref="H16:I16"/>
    <mergeCell ref="H17:I17"/>
    <mergeCell ref="B18:F18"/>
    <mergeCell ref="H18:I18"/>
    <mergeCell ref="B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B32:E32"/>
    <mergeCell ref="B34:E34"/>
    <mergeCell ref="B36:I36"/>
    <mergeCell ref="B37:I37"/>
    <mergeCell ref="C38:E38"/>
    <mergeCell ref="G38:I38"/>
    <mergeCell ref="B40:I40"/>
    <mergeCell ref="H41:I41"/>
    <mergeCell ref="H42:I42"/>
    <mergeCell ref="H43:I43"/>
    <mergeCell ref="H44:I44"/>
    <mergeCell ref="B45:F45"/>
    <mergeCell ref="H45:I45"/>
    <mergeCell ref="B47:I47"/>
    <mergeCell ref="H48:I48"/>
    <mergeCell ref="H49:I49"/>
    <mergeCell ref="H50:I50"/>
    <mergeCell ref="H51:I51"/>
    <mergeCell ref="H52:I52"/>
    <mergeCell ref="H53:I53"/>
    <mergeCell ref="H54:I54"/>
    <mergeCell ref="B55:E55"/>
    <mergeCell ref="B57:E57"/>
    <mergeCell ref="B59:I59"/>
    <mergeCell ref="B60:I60"/>
    <mergeCell ref="C61:E61"/>
    <mergeCell ref="G61:I61"/>
    <mergeCell ref="B63:I63"/>
    <mergeCell ref="B64:F64"/>
    <mergeCell ref="H64:I64"/>
    <mergeCell ref="B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B86:E86"/>
    <mergeCell ref="B88:E88"/>
    <mergeCell ref="B90:I90"/>
    <mergeCell ref="B91:I91"/>
    <mergeCell ref="C92:E92"/>
    <mergeCell ref="G92:I92"/>
    <mergeCell ref="B94:I94"/>
    <mergeCell ref="B95:F95"/>
    <mergeCell ref="H95:I95"/>
    <mergeCell ref="B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B111:D111"/>
    <mergeCell ref="B113:E113"/>
    <mergeCell ref="B115:I115"/>
    <mergeCell ref="B116:I116"/>
    <mergeCell ref="C117:E117"/>
    <mergeCell ref="G117:I117"/>
    <mergeCell ref="B119:I119"/>
    <mergeCell ref="H120:I120"/>
    <mergeCell ref="H121:I121"/>
    <mergeCell ref="H122:I122"/>
    <mergeCell ref="B123:E123"/>
    <mergeCell ref="B125:I125"/>
    <mergeCell ref="B126:E126"/>
    <mergeCell ref="G126:I126"/>
    <mergeCell ref="B128:E128"/>
    <mergeCell ref="B130:I130"/>
    <mergeCell ref="B131:I131"/>
    <mergeCell ref="C132:E132"/>
    <mergeCell ref="G132:I132"/>
    <mergeCell ref="B134:I134"/>
    <mergeCell ref="H135:I135"/>
    <mergeCell ref="H136:I136"/>
    <mergeCell ref="H137:I137"/>
    <mergeCell ref="H138:I138"/>
    <mergeCell ref="B139:E139"/>
    <mergeCell ref="B141:I141"/>
    <mergeCell ref="B142:E142"/>
    <mergeCell ref="G142:I142"/>
    <mergeCell ref="B144:E144"/>
    <mergeCell ref="B146:I146"/>
    <mergeCell ref="B147:I147"/>
    <mergeCell ref="C148:E148"/>
    <mergeCell ref="G148:I148"/>
    <mergeCell ref="B150:I150"/>
    <mergeCell ref="H151:I151"/>
    <mergeCell ref="H152:I152"/>
    <mergeCell ref="H153:I153"/>
    <mergeCell ref="H154:I154"/>
    <mergeCell ref="H155:I155"/>
    <mergeCell ref="H156:I156"/>
    <mergeCell ref="B157:D157"/>
    <mergeCell ref="B159:I159"/>
    <mergeCell ref="B160:D160"/>
    <mergeCell ref="F160:I160"/>
    <mergeCell ref="B162:E162"/>
    <mergeCell ref="B164:I164"/>
    <mergeCell ref="B165:I165"/>
    <mergeCell ref="C166:E166"/>
    <mergeCell ref="G166:I166"/>
    <mergeCell ref="B168:I168"/>
    <mergeCell ref="H169:I169"/>
    <mergeCell ref="H170:I170"/>
    <mergeCell ref="H171:I171"/>
    <mergeCell ref="B172:D172"/>
    <mergeCell ref="B174:I174"/>
    <mergeCell ref="B175:D175"/>
    <mergeCell ref="F175:I175"/>
    <mergeCell ref="B177:E177"/>
    <mergeCell ref="G178:I178"/>
    <mergeCell ref="B179:I179"/>
    <mergeCell ref="B180:I180"/>
    <mergeCell ref="B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B193:E193"/>
    <mergeCell ref="B195:E195"/>
    <mergeCell ref="B198:I198"/>
    <mergeCell ref="B199:G199"/>
    <mergeCell ref="B200:G2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4" activeCellId="0" sqref="C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26.29"/>
    <col collapsed="false" customWidth="true" hidden="false" outlineLevel="0" max="7" min="4" style="1" width="20"/>
    <col collapsed="false" customWidth="true" hidden="false" outlineLevel="0" max="8" min="8" style="1" width="22"/>
    <col collapsed="false" customWidth="true" hidden="false" outlineLevel="0" max="9" min="9" style="1" width="40"/>
    <col collapsed="false" customWidth="true" hidden="false" outlineLevel="0" max="10" min="10" style="1" width="3"/>
  </cols>
  <sheetData>
    <row r="2" customFormat="false" ht="33.75" hidden="false" customHeight="true" outlineLevel="0" collapsed="false">
      <c r="B2" s="2" t="s">
        <v>223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7" t="s">
        <v>45</v>
      </c>
      <c r="C4" s="48" t="s">
        <v>224</v>
      </c>
      <c r="D4" s="18"/>
      <c r="E4" s="18"/>
      <c r="F4" s="18"/>
      <c r="G4" s="18"/>
      <c r="H4" s="17" t="s">
        <v>47</v>
      </c>
      <c r="I4" s="19"/>
    </row>
    <row r="5" customFormat="false" ht="21.75" hidden="false" customHeight="true" outlineLevel="0" collapsed="false">
      <c r="B5" s="17" t="s">
        <v>48</v>
      </c>
      <c r="C5" s="49" t="s">
        <v>49</v>
      </c>
      <c r="D5" s="18"/>
      <c r="E5" s="18"/>
      <c r="F5" s="18"/>
      <c r="G5" s="18"/>
      <c r="H5" s="17"/>
      <c r="I5" s="19"/>
    </row>
    <row r="6" customFormat="false" ht="21.75" hidden="false" customHeight="true" outlineLevel="0" collapsed="false">
      <c r="B6" s="17" t="s">
        <v>50</v>
      </c>
      <c r="C6" s="49" t="s">
        <v>51</v>
      </c>
      <c r="D6" s="18"/>
      <c r="E6" s="18"/>
      <c r="F6" s="18"/>
      <c r="G6" s="18"/>
      <c r="H6" s="17"/>
      <c r="I6" s="19"/>
    </row>
    <row r="7" customFormat="false" ht="21.75" hidden="false" customHeight="true" outlineLevel="0" collapsed="false">
      <c r="B7" s="17" t="s">
        <v>52</v>
      </c>
      <c r="C7" s="48" t="s">
        <v>225</v>
      </c>
      <c r="D7" s="18"/>
      <c r="E7" s="18"/>
      <c r="F7" s="18"/>
      <c r="G7" s="18"/>
      <c r="H7" s="17"/>
      <c r="I7" s="19"/>
    </row>
    <row r="9" customFormat="false" ht="25.5" hidden="false" customHeight="true" outlineLevel="0" collapsed="false">
      <c r="B9" s="4" t="s">
        <v>54</v>
      </c>
      <c r="C9" s="4"/>
      <c r="D9" s="4"/>
      <c r="E9" s="4"/>
      <c r="F9" s="4"/>
      <c r="G9" s="4"/>
      <c r="H9" s="4"/>
      <c r="I9" s="4"/>
    </row>
    <row r="10" customFormat="false" ht="31.5" hidden="false" customHeight="true" outlineLevel="0" collapsed="false">
      <c r="B10" s="16" t="s">
        <v>55</v>
      </c>
      <c r="C10" s="16"/>
      <c r="D10" s="16"/>
      <c r="E10" s="16"/>
      <c r="F10" s="16"/>
      <c r="G10" s="16"/>
      <c r="H10" s="16"/>
      <c r="I10" s="16"/>
    </row>
    <row r="11" customFormat="false" ht="21.75" hidden="false" customHeight="true" outlineLevel="0" collapsed="false">
      <c r="B11" s="22" t="s">
        <v>56</v>
      </c>
      <c r="C11" s="23" t="s">
        <v>57</v>
      </c>
      <c r="D11" s="23"/>
      <c r="E11" s="23"/>
      <c r="F11" s="17" t="s">
        <v>58</v>
      </c>
      <c r="G11" s="24" t="s">
        <v>59</v>
      </c>
      <c r="H11" s="24"/>
      <c r="I11" s="24"/>
    </row>
    <row r="13" customFormat="false" ht="21.75" hidden="false" customHeight="true" outlineLevel="0" collapsed="false">
      <c r="B13" s="25" t="s">
        <v>60</v>
      </c>
      <c r="C13" s="25"/>
      <c r="D13" s="25"/>
      <c r="E13" s="25"/>
      <c r="F13" s="25"/>
      <c r="G13" s="25"/>
      <c r="H13" s="25"/>
      <c r="I13" s="25"/>
    </row>
    <row r="14" customFormat="false" ht="27.75" hidden="false" customHeight="true" outlineLevel="0" collapsed="false">
      <c r="B14" s="26" t="s">
        <v>61</v>
      </c>
      <c r="C14" s="26" t="s">
        <v>62</v>
      </c>
      <c r="D14" s="26" t="s">
        <v>63</v>
      </c>
      <c r="E14" s="26" t="s">
        <v>64</v>
      </c>
      <c r="F14" s="26" t="s">
        <v>65</v>
      </c>
      <c r="G14" s="26" t="s">
        <v>66</v>
      </c>
      <c r="H14" s="27" t="s">
        <v>67</v>
      </c>
      <c r="I14" s="27"/>
    </row>
    <row r="15" customFormat="false" ht="19.5" hidden="false" customHeight="true" outlineLevel="0" collapsed="false">
      <c r="B15" s="7" t="s">
        <v>68</v>
      </c>
      <c r="C15" s="28" t="n">
        <v>0</v>
      </c>
      <c r="D15" s="29" t="n">
        <v>0</v>
      </c>
      <c r="E15" s="28" t="n">
        <v>60</v>
      </c>
      <c r="F15" s="30" t="n">
        <f aca="false">IFERROR(D15/E15,0)</f>
        <v>0</v>
      </c>
      <c r="G15" s="30" t="n">
        <f aca="false">C15*F15</f>
        <v>0</v>
      </c>
      <c r="H15" s="19"/>
      <c r="I15" s="19"/>
    </row>
    <row r="16" customFormat="false" ht="19.5" hidden="false" customHeight="true" outlineLevel="0" collapsed="false">
      <c r="B16" s="7" t="s">
        <v>69</v>
      </c>
      <c r="C16" s="28"/>
      <c r="D16" s="29"/>
      <c r="E16" s="28" t="n">
        <v>60</v>
      </c>
      <c r="F16" s="30" t="n">
        <f aca="false">IFERROR(D16/E16,0)</f>
        <v>0</v>
      </c>
      <c r="G16" s="30" t="n">
        <f aca="false">C16*F16</f>
        <v>0</v>
      </c>
      <c r="H16" s="19"/>
      <c r="I16" s="19"/>
    </row>
    <row r="17" customFormat="false" ht="21.75" hidden="false" customHeight="true" outlineLevel="0" collapsed="false">
      <c r="B17" s="31" t="s">
        <v>70</v>
      </c>
      <c r="C17" s="31"/>
      <c r="D17" s="31"/>
      <c r="E17" s="31"/>
      <c r="F17" s="31"/>
      <c r="G17" s="32" t="n">
        <f aca="false">SUM(G15:G16)</f>
        <v>0</v>
      </c>
      <c r="H17" s="20"/>
      <c r="I17" s="20"/>
    </row>
    <row r="19" customFormat="false" ht="21.75" hidden="false" customHeight="true" outlineLevel="0" collapsed="false">
      <c r="B19" s="25" t="s">
        <v>71</v>
      </c>
      <c r="C19" s="25"/>
      <c r="D19" s="25"/>
      <c r="E19" s="25"/>
      <c r="F19" s="25"/>
      <c r="G19" s="25"/>
      <c r="H19" s="25"/>
      <c r="I19" s="25"/>
    </row>
    <row r="20" customFormat="false" ht="27.75" hidden="false" customHeight="true" outlineLevel="0" collapsed="false">
      <c r="B20" s="26" t="s">
        <v>72</v>
      </c>
      <c r="C20" s="26" t="s">
        <v>73</v>
      </c>
      <c r="D20" s="26" t="s">
        <v>74</v>
      </c>
      <c r="E20" s="26" t="s">
        <v>75</v>
      </c>
      <c r="F20" s="26" t="s">
        <v>76</v>
      </c>
      <c r="G20" s="26"/>
      <c r="H20" s="27" t="s">
        <v>67</v>
      </c>
      <c r="I20" s="27"/>
    </row>
    <row r="21" customFormat="false" ht="18" hidden="false" customHeight="true" outlineLevel="0" collapsed="false">
      <c r="B21" s="33"/>
      <c r="C21" s="33"/>
      <c r="D21" s="29"/>
      <c r="E21" s="28"/>
      <c r="F21" s="30" t="str">
        <f aca="false">IF(AND(ISNUMBER(D21),ISNUMBER(E21),E21&gt;0),D21/E21,"")</f>
        <v/>
      </c>
      <c r="G21" s="34"/>
      <c r="H21" s="19"/>
      <c r="I21" s="19"/>
    </row>
    <row r="22" customFormat="false" ht="18" hidden="false" customHeight="true" outlineLevel="0" collapsed="false">
      <c r="B22" s="33"/>
      <c r="C22" s="33"/>
      <c r="D22" s="29"/>
      <c r="E22" s="28"/>
      <c r="F22" s="30" t="str">
        <f aca="false">IF(AND(ISNUMBER(D22),ISNUMBER(E22),E22&gt;0),D22/E22,"")</f>
        <v/>
      </c>
      <c r="G22" s="34"/>
      <c r="H22" s="19"/>
      <c r="I22" s="19"/>
    </row>
    <row r="23" customFormat="false" ht="18" hidden="false" customHeight="true" outlineLevel="0" collapsed="false">
      <c r="B23" s="33"/>
      <c r="C23" s="33"/>
      <c r="D23" s="29"/>
      <c r="E23" s="28"/>
      <c r="F23" s="30" t="str">
        <f aca="false">IF(AND(ISNUMBER(D23),ISNUMBER(E23),E23&gt;0),D23/E23,"")</f>
        <v/>
      </c>
      <c r="G23" s="34"/>
      <c r="H23" s="19"/>
      <c r="I23" s="19"/>
    </row>
    <row r="24" customFormat="false" ht="18" hidden="false" customHeight="true" outlineLevel="0" collapsed="false">
      <c r="B24" s="33"/>
      <c r="C24" s="33"/>
      <c r="D24" s="29"/>
      <c r="E24" s="28"/>
      <c r="F24" s="30" t="str">
        <f aca="false">IF(AND(ISNUMBER(D24),ISNUMBER(E24),E24&gt;0),D24/E24,"")</f>
        <v/>
      </c>
      <c r="G24" s="34"/>
      <c r="H24" s="19"/>
      <c r="I24" s="19"/>
    </row>
    <row r="25" customFormat="false" ht="18" hidden="false" customHeight="true" outlineLevel="0" collapsed="false">
      <c r="B25" s="33"/>
      <c r="C25" s="33"/>
      <c r="D25" s="29"/>
      <c r="E25" s="28"/>
      <c r="F25" s="30" t="str">
        <f aca="false">IF(AND(ISNUMBER(D25),ISNUMBER(E25),E25&gt;0),D25/E25,"")</f>
        <v/>
      </c>
      <c r="G25" s="34"/>
      <c r="H25" s="19"/>
      <c r="I25" s="19"/>
    </row>
    <row r="26" customFormat="false" ht="18" hidden="false" customHeight="true" outlineLevel="0" collapsed="false">
      <c r="B26" s="33"/>
      <c r="C26" s="33"/>
      <c r="D26" s="29"/>
      <c r="E26" s="28"/>
      <c r="F26" s="30" t="str">
        <f aca="false">IF(AND(ISNUMBER(D26),ISNUMBER(E26),E26&gt;0),D26/E26,"")</f>
        <v/>
      </c>
      <c r="G26" s="34"/>
      <c r="H26" s="19"/>
      <c r="I26" s="19"/>
    </row>
    <row r="27" customFormat="false" ht="18" hidden="false" customHeight="true" outlineLevel="0" collapsed="false">
      <c r="B27" s="33"/>
      <c r="C27" s="33"/>
      <c r="D27" s="29"/>
      <c r="E27" s="28"/>
      <c r="F27" s="30" t="str">
        <f aca="false">IF(AND(ISNUMBER(D27),ISNUMBER(E27),E27&gt;0),D27/E27,"")</f>
        <v/>
      </c>
      <c r="G27" s="34"/>
      <c r="H27" s="19"/>
      <c r="I27" s="19"/>
    </row>
    <row r="28" customFormat="false" ht="18" hidden="false" customHeight="true" outlineLevel="0" collapsed="false">
      <c r="B28" s="33"/>
      <c r="C28" s="33"/>
      <c r="D28" s="29"/>
      <c r="E28" s="28"/>
      <c r="F28" s="30" t="str">
        <f aca="false">IF(AND(ISNUMBER(D28),ISNUMBER(E28),E28&gt;0),D28/E28,"")</f>
        <v/>
      </c>
      <c r="G28" s="34"/>
      <c r="H28" s="19"/>
      <c r="I28" s="19"/>
    </row>
    <row r="29" customFormat="false" ht="18" hidden="false" customHeight="true" outlineLevel="0" collapsed="false">
      <c r="B29" s="33"/>
      <c r="C29" s="33"/>
      <c r="D29" s="29"/>
      <c r="E29" s="28"/>
      <c r="F29" s="30" t="str">
        <f aca="false">IF(AND(ISNUMBER(D29),ISNUMBER(E29),E29&gt;0),D29/E29,"")</f>
        <v/>
      </c>
      <c r="G29" s="34"/>
      <c r="H29" s="19"/>
      <c r="I29" s="19"/>
    </row>
    <row r="30" customFormat="false" ht="18" hidden="false" customHeight="true" outlineLevel="0" collapsed="false">
      <c r="B30" s="33"/>
      <c r="C30" s="33"/>
      <c r="D30" s="29"/>
      <c r="E30" s="28"/>
      <c r="F30" s="30" t="str">
        <f aca="false">IF(AND(ISNUMBER(D30),ISNUMBER(E30),E30&gt;0),D30/E30,"")</f>
        <v/>
      </c>
      <c r="G30" s="34"/>
      <c r="H30" s="19"/>
      <c r="I30" s="19"/>
    </row>
    <row r="31" customFormat="false" ht="21.75" hidden="false" customHeight="true" outlineLevel="0" collapsed="false">
      <c r="B31" s="31"/>
      <c r="C31" s="31"/>
      <c r="D31" s="31"/>
      <c r="E31" s="31"/>
      <c r="F31" s="32" t="n">
        <f aca="false">IFERROR(SUM(F21:F30),0)</f>
        <v>0</v>
      </c>
      <c r="G31" s="20"/>
      <c r="H31" s="20"/>
      <c r="I31" s="20"/>
    </row>
    <row r="33" customFormat="false" ht="24" hidden="false" customHeight="true" outlineLevel="0" collapsed="false">
      <c r="B33" s="35" t="s">
        <v>78</v>
      </c>
      <c r="C33" s="35"/>
      <c r="D33" s="35"/>
      <c r="E33" s="35"/>
      <c r="F33" s="36"/>
      <c r="G33" s="36"/>
      <c r="H33" s="37" t="n">
        <f aca="false">IF(C11="Average cost for all servers",G17,F31)</f>
        <v>0</v>
      </c>
      <c r="I33" s="36"/>
    </row>
    <row r="35" customFormat="false" ht="25.5" hidden="false" customHeight="true" outlineLevel="0" collapsed="false">
      <c r="B35" s="4" t="s">
        <v>79</v>
      </c>
      <c r="C35" s="4"/>
      <c r="D35" s="4"/>
      <c r="E35" s="4"/>
      <c r="F35" s="4"/>
      <c r="G35" s="4"/>
      <c r="H35" s="4"/>
      <c r="I35" s="4"/>
    </row>
    <row r="36" customFormat="false" ht="31.5" hidden="false" customHeight="true" outlineLevel="0" collapsed="false">
      <c r="B36" s="16" t="s">
        <v>80</v>
      </c>
      <c r="C36" s="16"/>
      <c r="D36" s="16"/>
      <c r="E36" s="16"/>
      <c r="F36" s="16"/>
      <c r="G36" s="16"/>
      <c r="H36" s="16"/>
      <c r="I36" s="16"/>
    </row>
    <row r="37" customFormat="false" ht="21.75" hidden="false" customHeight="true" outlineLevel="0" collapsed="false">
      <c r="B37" s="22" t="s">
        <v>56</v>
      </c>
      <c r="C37" s="23" t="s">
        <v>81</v>
      </c>
      <c r="D37" s="23"/>
      <c r="E37" s="23"/>
      <c r="F37" s="17" t="s">
        <v>58</v>
      </c>
      <c r="G37" s="24" t="s">
        <v>82</v>
      </c>
      <c r="H37" s="24"/>
      <c r="I37" s="24"/>
    </row>
    <row r="39" customFormat="false" ht="21.75" hidden="false" customHeight="true" outlineLevel="0" collapsed="false">
      <c r="B39" s="25" t="s">
        <v>83</v>
      </c>
      <c r="C39" s="25"/>
      <c r="D39" s="25"/>
      <c r="E39" s="25"/>
      <c r="F39" s="25"/>
      <c r="G39" s="25"/>
      <c r="H39" s="25"/>
      <c r="I39" s="25"/>
    </row>
    <row r="40" customFormat="false" ht="27.75" hidden="false" customHeight="true" outlineLevel="0" collapsed="false">
      <c r="B40" s="26" t="s">
        <v>84</v>
      </c>
      <c r="C40" s="26" t="s">
        <v>85</v>
      </c>
      <c r="D40" s="26" t="s">
        <v>86</v>
      </c>
      <c r="E40" s="26" t="s">
        <v>75</v>
      </c>
      <c r="F40" s="26" t="s">
        <v>87</v>
      </c>
      <c r="G40" s="26" t="s">
        <v>88</v>
      </c>
      <c r="H40" s="27" t="s">
        <v>67</v>
      </c>
      <c r="I40" s="27"/>
    </row>
    <row r="41" customFormat="false" ht="19.5" hidden="false" customHeight="true" outlineLevel="0" collapsed="false">
      <c r="B41" s="7" t="s">
        <v>89</v>
      </c>
      <c r="C41" s="28" t="n">
        <v>0</v>
      </c>
      <c r="D41" s="29" t="n">
        <v>0</v>
      </c>
      <c r="E41" s="28" t="n">
        <v>60</v>
      </c>
      <c r="F41" s="30" t="n">
        <f aca="false">IFERROR(D41/E41,0)</f>
        <v>0</v>
      </c>
      <c r="G41" s="30" t="n">
        <f aca="false">C41*F41</f>
        <v>0</v>
      </c>
      <c r="H41" s="19"/>
      <c r="I41" s="19"/>
    </row>
    <row r="42" customFormat="false" ht="19.5" hidden="false" customHeight="true" outlineLevel="0" collapsed="false">
      <c r="B42" s="7" t="s">
        <v>90</v>
      </c>
      <c r="C42" s="28"/>
      <c r="D42" s="29"/>
      <c r="E42" s="28" t="n">
        <v>60</v>
      </c>
      <c r="F42" s="30" t="n">
        <f aca="false">IFERROR(D42/E42,0)</f>
        <v>0</v>
      </c>
      <c r="G42" s="30" t="n">
        <f aca="false">C42*F42</f>
        <v>0</v>
      </c>
      <c r="H42" s="19"/>
      <c r="I42" s="19"/>
    </row>
    <row r="43" customFormat="false" ht="19.5" hidden="false" customHeight="true" outlineLevel="0" collapsed="false">
      <c r="B43" s="7" t="s">
        <v>91</v>
      </c>
      <c r="C43" s="28"/>
      <c r="D43" s="29"/>
      <c r="E43" s="28" t="n">
        <v>60</v>
      </c>
      <c r="F43" s="30" t="n">
        <f aca="false">IFERROR(D43/E43,0)</f>
        <v>0</v>
      </c>
      <c r="G43" s="30" t="n">
        <f aca="false">C43*F43</f>
        <v>0</v>
      </c>
      <c r="H43" s="19"/>
      <c r="I43" s="19"/>
    </row>
    <row r="44" customFormat="false" ht="21.75" hidden="false" customHeight="true" outlineLevel="0" collapsed="false">
      <c r="B44" s="31" t="s">
        <v>92</v>
      </c>
      <c r="C44" s="31"/>
      <c r="D44" s="31"/>
      <c r="E44" s="31"/>
      <c r="F44" s="31"/>
      <c r="G44" s="32" t="n">
        <f aca="false">SUM(G41:G43)</f>
        <v>0</v>
      </c>
      <c r="H44" s="38"/>
      <c r="I44" s="38"/>
    </row>
    <row r="46" customFormat="false" ht="21.75" hidden="false" customHeight="true" outlineLevel="0" collapsed="false">
      <c r="B46" s="25" t="s">
        <v>93</v>
      </c>
      <c r="C46" s="25"/>
      <c r="D46" s="25"/>
      <c r="E46" s="25"/>
      <c r="F46" s="25"/>
      <c r="G46" s="25"/>
      <c r="H46" s="25"/>
      <c r="I46" s="25"/>
    </row>
    <row r="47" customFormat="false" ht="27.75" hidden="false" customHeight="true" outlineLevel="0" collapsed="false">
      <c r="B47" s="26" t="s">
        <v>94</v>
      </c>
      <c r="C47" s="26" t="s">
        <v>95</v>
      </c>
      <c r="D47" s="26" t="s">
        <v>96</v>
      </c>
      <c r="E47" s="26" t="s">
        <v>75</v>
      </c>
      <c r="F47" s="26" t="s">
        <v>76</v>
      </c>
      <c r="G47" s="26"/>
      <c r="H47" s="27" t="s">
        <v>67</v>
      </c>
      <c r="I47" s="27"/>
    </row>
    <row r="48" customFormat="false" ht="18" hidden="false" customHeight="true" outlineLevel="0" collapsed="false">
      <c r="B48" s="19"/>
      <c r="C48" s="19"/>
      <c r="D48" s="29"/>
      <c r="E48" s="28"/>
      <c r="F48" s="30" t="str">
        <f aca="false">IF(AND(ISNUMBER(D48),ISNUMBER(E48),E48&gt;0),D48/E48,"")</f>
        <v/>
      </c>
      <c r="G48" s="34"/>
      <c r="H48" s="19"/>
      <c r="I48" s="19"/>
    </row>
    <row r="49" customFormat="false" ht="18" hidden="false" customHeight="true" outlineLevel="0" collapsed="false">
      <c r="B49" s="19"/>
      <c r="C49" s="19"/>
      <c r="D49" s="29"/>
      <c r="E49" s="28"/>
      <c r="F49" s="30" t="str">
        <f aca="false">IF(AND(ISNUMBER(D49),ISNUMBER(E49),E49&gt;0),D49/E49,"")</f>
        <v/>
      </c>
      <c r="G49" s="34"/>
      <c r="H49" s="19"/>
      <c r="I49" s="19"/>
    </row>
    <row r="50" customFormat="false" ht="18" hidden="false" customHeight="true" outlineLevel="0" collapsed="false">
      <c r="B50" s="19"/>
      <c r="C50" s="19"/>
      <c r="D50" s="29"/>
      <c r="E50" s="28"/>
      <c r="F50" s="30" t="str">
        <f aca="false">IF(AND(ISNUMBER(D50),ISNUMBER(E50),E50&gt;0),D50/E50,"")</f>
        <v/>
      </c>
      <c r="G50" s="34"/>
      <c r="H50" s="19"/>
      <c r="I50" s="19"/>
    </row>
    <row r="51" customFormat="false" ht="18" hidden="false" customHeight="true" outlineLevel="0" collapsed="false">
      <c r="B51" s="19"/>
      <c r="C51" s="19"/>
      <c r="D51" s="29"/>
      <c r="E51" s="28"/>
      <c r="F51" s="30" t="str">
        <f aca="false">IF(AND(ISNUMBER(D51),ISNUMBER(E51),E51&gt;0),D51/E51,"")</f>
        <v/>
      </c>
      <c r="G51" s="34"/>
      <c r="H51" s="19"/>
      <c r="I51" s="19"/>
    </row>
    <row r="52" customFormat="false" ht="18" hidden="false" customHeight="true" outlineLevel="0" collapsed="false">
      <c r="B52" s="19"/>
      <c r="C52" s="19"/>
      <c r="D52" s="29"/>
      <c r="E52" s="28"/>
      <c r="F52" s="30" t="str">
        <f aca="false">IF(AND(ISNUMBER(D52),ISNUMBER(E52),E52&gt;0),D52/E52,"")</f>
        <v/>
      </c>
      <c r="G52" s="34"/>
      <c r="H52" s="19"/>
      <c r="I52" s="19"/>
    </row>
    <row r="53" customFormat="false" ht="18" hidden="false" customHeight="true" outlineLevel="0" collapsed="false">
      <c r="B53" s="19"/>
      <c r="C53" s="19"/>
      <c r="D53" s="29"/>
      <c r="E53" s="28"/>
      <c r="F53" s="30" t="str">
        <f aca="false">IF(AND(ISNUMBER(D53),ISNUMBER(E53),E53&gt;0),D53/E53,"")</f>
        <v/>
      </c>
      <c r="G53" s="34"/>
      <c r="H53" s="19"/>
      <c r="I53" s="19"/>
    </row>
    <row r="54" customFormat="false" ht="21.75" hidden="false" customHeight="true" outlineLevel="0" collapsed="false">
      <c r="B54" s="31"/>
      <c r="C54" s="31"/>
      <c r="D54" s="31"/>
      <c r="E54" s="31"/>
      <c r="F54" s="32" t="n">
        <f aca="false">IFERROR(SUM(F48:F53),0)</f>
        <v>0</v>
      </c>
      <c r="G54" s="20"/>
      <c r="H54" s="20"/>
      <c r="I54" s="20"/>
    </row>
    <row r="56" customFormat="false" ht="24" hidden="false" customHeight="true" outlineLevel="0" collapsed="false">
      <c r="B56" s="35" t="s">
        <v>98</v>
      </c>
      <c r="C56" s="35"/>
      <c r="D56" s="35"/>
      <c r="E56" s="35"/>
      <c r="F56" s="36"/>
      <c r="G56" s="36"/>
      <c r="H56" s="37" t="n">
        <f aca="false">IF(C37="Average cost for all storage systems",G44,F54)</f>
        <v>0</v>
      </c>
      <c r="I56" s="36"/>
    </row>
    <row r="58" customFormat="false" ht="25.5" hidden="false" customHeight="true" outlineLevel="0" collapsed="false">
      <c r="B58" s="4" t="s">
        <v>99</v>
      </c>
      <c r="C58" s="4"/>
      <c r="D58" s="4"/>
      <c r="E58" s="4"/>
      <c r="F58" s="4"/>
      <c r="G58" s="4"/>
      <c r="H58" s="4"/>
      <c r="I58" s="4"/>
    </row>
    <row r="59" customFormat="false" ht="31.5" hidden="false" customHeight="true" outlineLevel="0" collapsed="false">
      <c r="B59" s="16" t="s">
        <v>100</v>
      </c>
      <c r="C59" s="16"/>
      <c r="D59" s="16"/>
      <c r="E59" s="16"/>
      <c r="F59" s="16"/>
      <c r="G59" s="16"/>
      <c r="H59" s="16"/>
      <c r="I59" s="16"/>
    </row>
    <row r="60" customFormat="false" ht="21.75" hidden="false" customHeight="true" outlineLevel="0" collapsed="false">
      <c r="B60" s="22" t="s">
        <v>56</v>
      </c>
      <c r="C60" s="23" t="s">
        <v>101</v>
      </c>
      <c r="D60" s="23"/>
      <c r="E60" s="23"/>
      <c r="F60" s="17" t="s">
        <v>58</v>
      </c>
      <c r="G60" s="24" t="s">
        <v>102</v>
      </c>
      <c r="H60" s="24"/>
      <c r="I60" s="24"/>
    </row>
    <row r="62" customFormat="false" ht="21.75" hidden="false" customHeight="true" outlineLevel="0" collapsed="false">
      <c r="B62" s="25" t="s">
        <v>103</v>
      </c>
      <c r="C62" s="25"/>
      <c r="D62" s="25"/>
      <c r="E62" s="25"/>
      <c r="F62" s="25"/>
      <c r="G62" s="25"/>
      <c r="H62" s="25"/>
      <c r="I62" s="25"/>
    </row>
    <row r="63" customFormat="false" ht="21.75" hidden="false" customHeight="true" outlineLevel="0" collapsed="false">
      <c r="B63" s="17" t="s">
        <v>104</v>
      </c>
      <c r="C63" s="17"/>
      <c r="D63" s="17"/>
      <c r="E63" s="17"/>
      <c r="F63" s="17"/>
      <c r="G63" s="29"/>
      <c r="H63" s="19"/>
      <c r="I63" s="19"/>
    </row>
    <row r="65" customFormat="false" ht="21.75" hidden="false" customHeight="true" outlineLevel="0" collapsed="false">
      <c r="B65" s="25" t="s">
        <v>105</v>
      </c>
      <c r="C65" s="25"/>
      <c r="D65" s="25"/>
      <c r="E65" s="25"/>
      <c r="F65" s="25"/>
      <c r="G65" s="25"/>
      <c r="H65" s="25"/>
      <c r="I65" s="25"/>
    </row>
    <row r="66" customFormat="false" ht="27.75" hidden="false" customHeight="true" outlineLevel="0" collapsed="false">
      <c r="B66" s="26" t="s">
        <v>106</v>
      </c>
      <c r="C66" s="26" t="s">
        <v>107</v>
      </c>
      <c r="D66" s="26" t="s">
        <v>226</v>
      </c>
      <c r="E66" s="26" t="s">
        <v>227</v>
      </c>
      <c r="F66" s="26" t="s">
        <v>76</v>
      </c>
      <c r="G66" s="26" t="s">
        <v>108</v>
      </c>
      <c r="H66" s="27" t="s">
        <v>67</v>
      </c>
      <c r="I66" s="27"/>
    </row>
    <row r="67" customFormat="false" ht="18" hidden="false" customHeight="true" outlineLevel="0" collapsed="false">
      <c r="B67" s="7" t="s">
        <v>109</v>
      </c>
      <c r="C67" s="33" t="s">
        <v>110</v>
      </c>
      <c r="D67" s="39"/>
      <c r="E67" s="29"/>
      <c r="F67" s="30" t="n">
        <f aca="false">IFERROR(D67*E67,0)</f>
        <v>0</v>
      </c>
      <c r="G67" s="33"/>
      <c r="H67" s="19"/>
      <c r="I67" s="19"/>
    </row>
    <row r="68" customFormat="false" ht="18" hidden="false" customHeight="true" outlineLevel="0" collapsed="false">
      <c r="B68" s="7" t="s">
        <v>111</v>
      </c>
      <c r="C68" s="33" t="s">
        <v>110</v>
      </c>
      <c r="D68" s="39"/>
      <c r="E68" s="29"/>
      <c r="F68" s="30" t="n">
        <f aca="false">IFERROR(D68*E68,0)</f>
        <v>0</v>
      </c>
      <c r="G68" s="33"/>
      <c r="H68" s="19"/>
      <c r="I68" s="19"/>
    </row>
    <row r="69" customFormat="false" ht="18" hidden="false" customHeight="true" outlineLevel="0" collapsed="false">
      <c r="B69" s="7" t="s">
        <v>112</v>
      </c>
      <c r="C69" s="33" t="s">
        <v>110</v>
      </c>
      <c r="D69" s="39"/>
      <c r="E69" s="29"/>
      <c r="F69" s="30" t="n">
        <f aca="false">IFERROR(D69*E69,0)</f>
        <v>0</v>
      </c>
      <c r="G69" s="33"/>
      <c r="H69" s="19"/>
      <c r="I69" s="19"/>
    </row>
    <row r="70" customFormat="false" ht="18" hidden="false" customHeight="true" outlineLevel="0" collapsed="false">
      <c r="B70" s="7" t="s">
        <v>113</v>
      </c>
      <c r="C70" s="33" t="s">
        <v>110</v>
      </c>
      <c r="D70" s="39"/>
      <c r="E70" s="29"/>
      <c r="F70" s="30" t="n">
        <f aca="false">IFERROR(D70*E70,0)</f>
        <v>0</v>
      </c>
      <c r="G70" s="33"/>
      <c r="H70" s="19"/>
      <c r="I70" s="19"/>
    </row>
    <row r="71" customFormat="false" ht="18" hidden="false" customHeight="true" outlineLevel="0" collapsed="false">
      <c r="B71" s="7" t="s">
        <v>114</v>
      </c>
      <c r="C71" s="33" t="s">
        <v>115</v>
      </c>
      <c r="D71" s="39"/>
      <c r="E71" s="29"/>
      <c r="F71" s="30" t="n">
        <f aca="false">IFERROR(D71*E71,0)</f>
        <v>0</v>
      </c>
      <c r="G71" s="33"/>
      <c r="H71" s="19"/>
      <c r="I71" s="19"/>
    </row>
    <row r="72" customFormat="false" ht="18" hidden="false" customHeight="true" outlineLevel="0" collapsed="false">
      <c r="B72" s="7" t="s">
        <v>116</v>
      </c>
      <c r="C72" s="33" t="s">
        <v>110</v>
      </c>
      <c r="D72" s="39"/>
      <c r="E72" s="29"/>
      <c r="F72" s="30" t="n">
        <f aca="false">IFERROR(D72*E72,0)</f>
        <v>0</v>
      </c>
      <c r="G72" s="33"/>
      <c r="H72" s="19"/>
      <c r="I72" s="19"/>
    </row>
    <row r="73" customFormat="false" ht="18" hidden="false" customHeight="true" outlineLevel="0" collapsed="false">
      <c r="B73" s="7" t="s">
        <v>117</v>
      </c>
      <c r="C73" s="33" t="s">
        <v>110</v>
      </c>
      <c r="D73" s="39"/>
      <c r="E73" s="29"/>
      <c r="F73" s="30" t="n">
        <f aca="false">IFERROR(D73*E73,0)</f>
        <v>0</v>
      </c>
      <c r="G73" s="33"/>
      <c r="H73" s="19"/>
      <c r="I73" s="19"/>
    </row>
    <row r="74" customFormat="false" ht="18" hidden="false" customHeight="true" outlineLevel="0" collapsed="false">
      <c r="B74" s="7" t="s">
        <v>118</v>
      </c>
      <c r="C74" s="33" t="s">
        <v>119</v>
      </c>
      <c r="D74" s="39"/>
      <c r="E74" s="29"/>
      <c r="F74" s="30" t="n">
        <f aca="false">IFERROR(D74*E74,0)</f>
        <v>0</v>
      </c>
      <c r="G74" s="33"/>
      <c r="H74" s="19"/>
      <c r="I74" s="19"/>
    </row>
    <row r="75" customFormat="false" ht="18" hidden="false" customHeight="true" outlineLevel="0" collapsed="false">
      <c r="B75" s="7" t="s">
        <v>120</v>
      </c>
      <c r="C75" s="33" t="s">
        <v>119</v>
      </c>
      <c r="D75" s="39"/>
      <c r="E75" s="29"/>
      <c r="F75" s="30" t="n">
        <f aca="false">IFERROR(D75*E75,0)</f>
        <v>0</v>
      </c>
      <c r="G75" s="33"/>
      <c r="H75" s="19"/>
      <c r="I75" s="19"/>
    </row>
    <row r="76" customFormat="false" ht="18" hidden="false" customHeight="true" outlineLevel="0" collapsed="false">
      <c r="B76" s="7" t="s">
        <v>121</v>
      </c>
      <c r="C76" s="33" t="s">
        <v>119</v>
      </c>
      <c r="D76" s="39"/>
      <c r="E76" s="29"/>
      <c r="F76" s="30" t="n">
        <f aca="false">IFERROR(D76*E76,0)</f>
        <v>0</v>
      </c>
      <c r="G76" s="33"/>
      <c r="H76" s="19"/>
      <c r="I76" s="19"/>
    </row>
    <row r="77" customFormat="false" ht="18" hidden="false" customHeight="true" outlineLevel="0" collapsed="false">
      <c r="B77" s="7" t="s">
        <v>122</v>
      </c>
      <c r="C77" s="33" t="s">
        <v>110</v>
      </c>
      <c r="D77" s="39"/>
      <c r="E77" s="29"/>
      <c r="F77" s="30" t="n">
        <f aca="false">IFERROR(D77*E77,0)</f>
        <v>0</v>
      </c>
      <c r="G77" s="33"/>
      <c r="H77" s="19"/>
      <c r="I77" s="19"/>
    </row>
    <row r="78" customFormat="false" ht="18" hidden="false" customHeight="true" outlineLevel="0" collapsed="false">
      <c r="B78" s="7" t="s">
        <v>123</v>
      </c>
      <c r="C78" s="33" t="s">
        <v>124</v>
      </c>
      <c r="D78" s="39"/>
      <c r="E78" s="29"/>
      <c r="F78" s="30" t="n">
        <f aca="false">IFERROR(D78*E78,0)</f>
        <v>0</v>
      </c>
      <c r="G78" s="33"/>
      <c r="H78" s="19"/>
      <c r="I78" s="19"/>
    </row>
    <row r="79" customFormat="false" ht="18" hidden="false" customHeight="true" outlineLevel="0" collapsed="false">
      <c r="B79" s="7" t="s">
        <v>125</v>
      </c>
      <c r="C79" s="33" t="s">
        <v>119</v>
      </c>
      <c r="D79" s="39"/>
      <c r="E79" s="29"/>
      <c r="F79" s="30" t="n">
        <f aca="false">IFERROR(D79*E79,0)</f>
        <v>0</v>
      </c>
      <c r="G79" s="33"/>
      <c r="H79" s="19"/>
      <c r="I79" s="19"/>
    </row>
    <row r="80" customFormat="false" ht="18" hidden="false" customHeight="true" outlineLevel="0" collapsed="false">
      <c r="B80" s="7" t="s">
        <v>126</v>
      </c>
      <c r="C80" s="33" t="s">
        <v>119</v>
      </c>
      <c r="D80" s="39"/>
      <c r="E80" s="29"/>
      <c r="F80" s="30" t="n">
        <f aca="false">IFERROR(D80*E80,0)</f>
        <v>0</v>
      </c>
      <c r="G80" s="33"/>
      <c r="H80" s="19"/>
      <c r="I80" s="19"/>
    </row>
    <row r="81" customFormat="false" ht="18" hidden="false" customHeight="true" outlineLevel="0" collapsed="false">
      <c r="B81" s="7" t="s">
        <v>127</v>
      </c>
      <c r="C81" s="33" t="s">
        <v>119</v>
      </c>
      <c r="D81" s="39"/>
      <c r="E81" s="29"/>
      <c r="F81" s="30" t="n">
        <f aca="false">IFERROR(D81*E81,0)</f>
        <v>0</v>
      </c>
      <c r="G81" s="33"/>
      <c r="H81" s="19"/>
      <c r="I81" s="19"/>
    </row>
    <row r="82" customFormat="false" ht="18" hidden="false" customHeight="true" outlineLevel="0" collapsed="false">
      <c r="B82" s="7" t="s">
        <v>128</v>
      </c>
      <c r="C82" s="33"/>
      <c r="D82" s="39"/>
      <c r="E82" s="29"/>
      <c r="F82" s="30" t="n">
        <f aca="false">IFERROR(D82*E82,0)</f>
        <v>0</v>
      </c>
      <c r="G82" s="33"/>
      <c r="H82" s="19"/>
      <c r="I82" s="19"/>
    </row>
    <row r="83" customFormat="false" ht="18" hidden="false" customHeight="true" outlineLevel="0" collapsed="false">
      <c r="B83" s="7" t="s">
        <v>128</v>
      </c>
      <c r="C83" s="33"/>
      <c r="D83" s="39"/>
      <c r="E83" s="29"/>
      <c r="F83" s="30" t="n">
        <f aca="false">IFERROR(D83*E83,0)</f>
        <v>0</v>
      </c>
      <c r="G83" s="33"/>
      <c r="H83" s="19"/>
      <c r="I83" s="19"/>
    </row>
    <row r="84" customFormat="false" ht="18" hidden="false" customHeight="true" outlineLevel="0" collapsed="false">
      <c r="B84" s="7" t="s">
        <v>128</v>
      </c>
      <c r="C84" s="33"/>
      <c r="D84" s="39"/>
      <c r="E84" s="29"/>
      <c r="F84" s="30" t="n">
        <f aca="false">IFERROR(D84*E84,0)</f>
        <v>0</v>
      </c>
      <c r="G84" s="33"/>
      <c r="H84" s="19"/>
      <c r="I84" s="19"/>
    </row>
    <row r="85" customFormat="false" ht="21.75" hidden="false" customHeight="true" outlineLevel="0" collapsed="false">
      <c r="B85" s="31" t="s">
        <v>97</v>
      </c>
      <c r="C85" s="31"/>
      <c r="D85" s="31"/>
      <c r="E85" s="31"/>
      <c r="F85" s="32" t="n">
        <f aca="false">SUM(F67:F84)</f>
        <v>0</v>
      </c>
      <c r="G85" s="20"/>
      <c r="H85" s="20"/>
      <c r="I85" s="20"/>
    </row>
    <row r="87" customFormat="false" ht="24" hidden="false" customHeight="true" outlineLevel="0" collapsed="false">
      <c r="B87" s="35" t="s">
        <v>129</v>
      </c>
      <c r="C87" s="35"/>
      <c r="D87" s="35"/>
      <c r="E87" s="35"/>
      <c r="F87" s="36"/>
      <c r="G87" s="36"/>
      <c r="H87" s="37" t="n">
        <f aca="false">IF(C60="Aggregate monthly license spend",G63,F85)</f>
        <v>0</v>
      </c>
      <c r="I87" s="36"/>
    </row>
    <row r="89" customFormat="false" ht="25.5" hidden="false" customHeight="true" outlineLevel="0" collapsed="false">
      <c r="B89" s="4" t="s">
        <v>130</v>
      </c>
      <c r="C89" s="4"/>
      <c r="D89" s="4"/>
      <c r="E89" s="4"/>
      <c r="F89" s="4"/>
      <c r="G89" s="4"/>
      <c r="H89" s="4"/>
      <c r="I89" s="4"/>
    </row>
    <row r="90" customFormat="false" ht="31.5" hidden="false" customHeight="true" outlineLevel="0" collapsed="false">
      <c r="B90" s="16" t="s">
        <v>131</v>
      </c>
      <c r="C90" s="16"/>
      <c r="D90" s="16"/>
      <c r="E90" s="16"/>
      <c r="F90" s="16"/>
      <c r="G90" s="16"/>
      <c r="H90" s="16"/>
      <c r="I90" s="16"/>
    </row>
    <row r="91" customFormat="false" ht="21.75" hidden="false" customHeight="true" outlineLevel="0" collapsed="false">
      <c r="B91" s="22" t="s">
        <v>56</v>
      </c>
      <c r="C91" s="23" t="s">
        <v>132</v>
      </c>
      <c r="D91" s="23"/>
      <c r="E91" s="23"/>
      <c r="F91" s="17" t="s">
        <v>58</v>
      </c>
      <c r="G91" s="24" t="s">
        <v>133</v>
      </c>
      <c r="H91" s="24"/>
      <c r="I91" s="24"/>
    </row>
    <row r="93" customFormat="false" ht="21.75" hidden="false" customHeight="true" outlineLevel="0" collapsed="false">
      <c r="B93" s="25" t="s">
        <v>134</v>
      </c>
      <c r="C93" s="25"/>
      <c r="D93" s="25"/>
      <c r="E93" s="25"/>
      <c r="F93" s="25"/>
      <c r="G93" s="25"/>
      <c r="H93" s="25"/>
      <c r="I93" s="25"/>
    </row>
    <row r="94" customFormat="false" ht="21.75" hidden="false" customHeight="true" outlineLevel="0" collapsed="false">
      <c r="B94" s="17" t="s">
        <v>135</v>
      </c>
      <c r="C94" s="17"/>
      <c r="D94" s="17"/>
      <c r="E94" s="17"/>
      <c r="F94" s="17"/>
      <c r="G94" s="29"/>
      <c r="H94" s="19"/>
      <c r="I94" s="19"/>
    </row>
    <row r="96" customFormat="false" ht="21.75" hidden="false" customHeight="true" outlineLevel="0" collapsed="false">
      <c r="B96" s="25"/>
      <c r="C96" s="25"/>
      <c r="D96" s="25"/>
      <c r="E96" s="25"/>
      <c r="F96" s="25"/>
      <c r="G96" s="25"/>
      <c r="H96" s="25"/>
      <c r="I96" s="25"/>
    </row>
    <row r="97" customFormat="false" ht="27.75" hidden="false" customHeight="true" outlineLevel="0" collapsed="false">
      <c r="B97" s="26"/>
      <c r="C97" s="26"/>
      <c r="D97" s="26"/>
      <c r="E97" s="26"/>
      <c r="F97" s="26"/>
      <c r="G97" s="26" t="s">
        <v>136</v>
      </c>
      <c r="H97" s="27" t="s">
        <v>67</v>
      </c>
      <c r="I97" s="27"/>
    </row>
    <row r="98" customFormat="false" ht="18" hidden="false" customHeight="true" outlineLevel="0" collapsed="false">
      <c r="B98" s="33"/>
      <c r="C98" s="33"/>
      <c r="D98" s="33"/>
      <c r="E98" s="29"/>
      <c r="F98" s="34"/>
      <c r="G98" s="19"/>
      <c r="H98" s="19"/>
      <c r="I98" s="19"/>
    </row>
    <row r="99" customFormat="false" ht="18" hidden="false" customHeight="true" outlineLevel="0" collapsed="false">
      <c r="B99" s="33"/>
      <c r="C99" s="33"/>
      <c r="D99" s="33"/>
      <c r="E99" s="29"/>
      <c r="F99" s="34"/>
      <c r="G99" s="19"/>
      <c r="H99" s="19"/>
      <c r="I99" s="19"/>
    </row>
    <row r="100" customFormat="false" ht="18" hidden="false" customHeight="true" outlineLevel="0" collapsed="false">
      <c r="B100" s="33"/>
      <c r="C100" s="33"/>
      <c r="D100" s="33"/>
      <c r="E100" s="29"/>
      <c r="F100" s="34"/>
      <c r="G100" s="19"/>
      <c r="H100" s="19"/>
      <c r="I100" s="19"/>
    </row>
    <row r="101" customFormat="false" ht="18" hidden="false" customHeight="true" outlineLevel="0" collapsed="false">
      <c r="B101" s="33"/>
      <c r="C101" s="33"/>
      <c r="D101" s="33"/>
      <c r="E101" s="29"/>
      <c r="F101" s="34"/>
      <c r="G101" s="19"/>
      <c r="H101" s="19"/>
      <c r="I101" s="19"/>
    </row>
    <row r="102" customFormat="false" ht="18" hidden="false" customHeight="true" outlineLevel="0" collapsed="false">
      <c r="B102" s="33"/>
      <c r="C102" s="33"/>
      <c r="D102" s="33"/>
      <c r="E102" s="29"/>
      <c r="F102" s="34"/>
      <c r="G102" s="19"/>
      <c r="H102" s="19"/>
      <c r="I102" s="19"/>
    </row>
    <row r="103" customFormat="false" ht="18" hidden="false" customHeight="true" outlineLevel="0" collapsed="false">
      <c r="B103" s="33"/>
      <c r="C103" s="33"/>
      <c r="D103" s="33"/>
      <c r="E103" s="29"/>
      <c r="F103" s="34"/>
      <c r="G103" s="19"/>
      <c r="H103" s="19"/>
      <c r="I103" s="19"/>
    </row>
    <row r="104" customFormat="false" ht="18" hidden="false" customHeight="true" outlineLevel="0" collapsed="false">
      <c r="B104" s="33"/>
      <c r="C104" s="33"/>
      <c r="D104" s="33"/>
      <c r="E104" s="29"/>
      <c r="F104" s="34"/>
      <c r="G104" s="19"/>
      <c r="H104" s="19"/>
      <c r="I104" s="19"/>
    </row>
    <row r="105" customFormat="false" ht="18" hidden="false" customHeight="true" outlineLevel="0" collapsed="false">
      <c r="B105" s="33"/>
      <c r="C105" s="33"/>
      <c r="D105" s="33"/>
      <c r="E105" s="29"/>
      <c r="F105" s="34"/>
      <c r="G105" s="19"/>
      <c r="H105" s="19"/>
      <c r="I105" s="19"/>
    </row>
    <row r="106" customFormat="false" ht="18" hidden="false" customHeight="true" outlineLevel="0" collapsed="false">
      <c r="B106" s="33"/>
      <c r="C106" s="33"/>
      <c r="D106" s="33"/>
      <c r="E106" s="29"/>
      <c r="F106" s="34"/>
      <c r="G106" s="19"/>
      <c r="H106" s="19"/>
      <c r="I106" s="19"/>
    </row>
    <row r="107" customFormat="false" ht="18" hidden="false" customHeight="true" outlineLevel="0" collapsed="false">
      <c r="B107" s="33"/>
      <c r="C107" s="33"/>
      <c r="D107" s="33"/>
      <c r="E107" s="29"/>
      <c r="F107" s="34"/>
      <c r="G107" s="19"/>
      <c r="H107" s="19"/>
      <c r="I107" s="19"/>
    </row>
    <row r="108" customFormat="false" ht="18" hidden="false" customHeight="true" outlineLevel="0" collapsed="false">
      <c r="B108" s="33"/>
      <c r="C108" s="33"/>
      <c r="D108" s="33"/>
      <c r="E108" s="29"/>
      <c r="F108" s="34"/>
      <c r="G108" s="19"/>
      <c r="H108" s="19"/>
      <c r="I108" s="19"/>
    </row>
    <row r="109" customFormat="false" ht="18" hidden="false" customHeight="true" outlineLevel="0" collapsed="false">
      <c r="B109" s="33"/>
      <c r="C109" s="33"/>
      <c r="D109" s="33"/>
      <c r="E109" s="29"/>
      <c r="F109" s="34"/>
      <c r="G109" s="19"/>
      <c r="H109" s="19"/>
      <c r="I109" s="19"/>
    </row>
    <row r="110" customFormat="false" ht="21.75" hidden="false" customHeight="true" outlineLevel="0" collapsed="false">
      <c r="B110" s="31" t="s">
        <v>97</v>
      </c>
      <c r="C110" s="31"/>
      <c r="D110" s="31"/>
      <c r="E110" s="32" t="n">
        <f aca="false">SUM(E98:E109)</f>
        <v>0</v>
      </c>
      <c r="F110" s="20"/>
      <c r="G110" s="20"/>
      <c r="H110" s="20"/>
      <c r="I110" s="20"/>
    </row>
    <row r="112" customFormat="false" ht="24" hidden="false" customHeight="true" outlineLevel="0" collapsed="false">
      <c r="B112" s="35" t="s">
        <v>137</v>
      </c>
      <c r="C112" s="35"/>
      <c r="D112" s="35"/>
      <c r="E112" s="35"/>
      <c r="F112" s="36"/>
      <c r="G112" s="36"/>
      <c r="H112" s="37" t="n">
        <f aca="false">IF(C91="Aggregate monthly application spend",G94,E110)</f>
        <v>0</v>
      </c>
      <c r="I112" s="36"/>
    </row>
    <row r="114" customFormat="false" ht="25.5" hidden="false" customHeight="true" outlineLevel="0" collapsed="false">
      <c r="B114" s="4" t="s">
        <v>138</v>
      </c>
      <c r="C114" s="4"/>
      <c r="D114" s="4"/>
      <c r="E114" s="4"/>
      <c r="F114" s="4"/>
      <c r="G114" s="4"/>
      <c r="H114" s="4"/>
      <c r="I114" s="4"/>
    </row>
    <row r="115" customFormat="false" ht="31.5" hidden="false" customHeight="true" outlineLevel="0" collapsed="false">
      <c r="B115" s="16" t="s">
        <v>139</v>
      </c>
      <c r="C115" s="16"/>
      <c r="D115" s="16"/>
      <c r="E115" s="16"/>
      <c r="F115" s="16"/>
      <c r="G115" s="16"/>
      <c r="H115" s="16"/>
      <c r="I115" s="16"/>
    </row>
    <row r="116" customFormat="false" ht="21.75" hidden="false" customHeight="true" outlineLevel="0" collapsed="false">
      <c r="B116" s="22" t="s">
        <v>56</v>
      </c>
      <c r="C116" s="23" t="s">
        <v>140</v>
      </c>
      <c r="D116" s="23"/>
      <c r="E116" s="23"/>
      <c r="F116" s="17" t="s">
        <v>58</v>
      </c>
      <c r="G116" s="24" t="s">
        <v>141</v>
      </c>
      <c r="H116" s="24"/>
      <c r="I116" s="24"/>
    </row>
    <row r="118" customFormat="false" ht="21.75" hidden="false" customHeight="true" outlineLevel="0" collapsed="false">
      <c r="B118" s="25" t="s">
        <v>142</v>
      </c>
      <c r="C118" s="25"/>
      <c r="D118" s="25"/>
      <c r="E118" s="25"/>
      <c r="F118" s="25"/>
      <c r="G118" s="25"/>
      <c r="H118" s="25"/>
      <c r="I118" s="25"/>
    </row>
    <row r="119" customFormat="false" ht="27.75" hidden="false" customHeight="true" outlineLevel="0" collapsed="false">
      <c r="B119" s="26" t="s">
        <v>143</v>
      </c>
      <c r="C119" s="26" t="s">
        <v>144</v>
      </c>
      <c r="D119" s="26" t="s">
        <v>145</v>
      </c>
      <c r="E119" s="26" t="s">
        <v>146</v>
      </c>
      <c r="F119" s="26" t="s">
        <v>76</v>
      </c>
      <c r="G119" s="26" t="s">
        <v>147</v>
      </c>
      <c r="H119" s="27" t="s">
        <v>67</v>
      </c>
      <c r="I119" s="27"/>
    </row>
    <row r="120" customFormat="false" ht="19.5" hidden="false" customHeight="true" outlineLevel="0" collapsed="false">
      <c r="B120" s="7" t="s">
        <v>148</v>
      </c>
      <c r="C120" s="40" t="n">
        <v>0.1</v>
      </c>
      <c r="D120" s="30" t="n">
        <f aca="false">H33*12</f>
        <v>0</v>
      </c>
      <c r="E120" s="30" t="n">
        <f aca="false">C120*D120</f>
        <v>0</v>
      </c>
      <c r="F120" s="30" t="n">
        <f aca="false">E120/12</f>
        <v>0</v>
      </c>
      <c r="G120" s="12" t="s">
        <v>149</v>
      </c>
      <c r="H120" s="33" t="s">
        <v>150</v>
      </c>
      <c r="I120" s="33"/>
    </row>
    <row r="121" customFormat="false" ht="19.5" hidden="false" customHeight="true" outlineLevel="0" collapsed="false">
      <c r="B121" s="7" t="s">
        <v>151</v>
      </c>
      <c r="C121" s="40" t="n">
        <v>0.2</v>
      </c>
      <c r="D121" s="30" t="n">
        <f aca="false">H87*12</f>
        <v>0</v>
      </c>
      <c r="E121" s="30" t="n">
        <f aca="false">C121*D121</f>
        <v>0</v>
      </c>
      <c r="F121" s="30" t="n">
        <f aca="false">E121/12</f>
        <v>0</v>
      </c>
      <c r="G121" s="12" t="s">
        <v>152</v>
      </c>
      <c r="H121" s="33" t="s">
        <v>153</v>
      </c>
      <c r="I121" s="33"/>
    </row>
    <row r="122" customFormat="false" ht="21.75" hidden="false" customHeight="true" outlineLevel="0" collapsed="false">
      <c r="B122" s="31" t="s">
        <v>70</v>
      </c>
      <c r="C122" s="31"/>
      <c r="D122" s="31"/>
      <c r="E122" s="31"/>
      <c r="F122" s="32" t="n">
        <f aca="false">SUM(F120:F121)</f>
        <v>0</v>
      </c>
      <c r="G122" s="20"/>
      <c r="H122" s="20"/>
      <c r="I122" s="20"/>
    </row>
    <row r="124" customFormat="false" ht="21.75" hidden="false" customHeight="true" outlineLevel="0" collapsed="false">
      <c r="B124" s="25" t="s">
        <v>154</v>
      </c>
      <c r="C124" s="25"/>
      <c r="D124" s="25"/>
      <c r="E124" s="25"/>
      <c r="F124" s="25"/>
      <c r="G124" s="25"/>
      <c r="H124" s="25"/>
      <c r="I124" s="25"/>
    </row>
    <row r="125" customFormat="false" ht="21.75" hidden="false" customHeight="true" outlineLevel="0" collapsed="false">
      <c r="B125" s="17" t="s">
        <v>155</v>
      </c>
      <c r="C125" s="17"/>
      <c r="D125" s="17"/>
      <c r="E125" s="17"/>
      <c r="F125" s="29"/>
      <c r="G125" s="19"/>
      <c r="H125" s="19"/>
      <c r="I125" s="19"/>
    </row>
    <row r="127" customFormat="false" ht="24" hidden="false" customHeight="true" outlineLevel="0" collapsed="false">
      <c r="B127" s="35" t="s">
        <v>156</v>
      </c>
      <c r="C127" s="35"/>
      <c r="D127" s="35"/>
      <c r="E127" s="35"/>
      <c r="F127" s="36"/>
      <c r="G127" s="36"/>
      <c r="H127" s="37" t="n">
        <f aca="false">IF(C116="Percentage-based (recommended)",F122,F125)</f>
        <v>0</v>
      </c>
      <c r="I127" s="36"/>
    </row>
    <row r="129" customFormat="false" ht="25.5" hidden="false" customHeight="true" outlineLevel="0" collapsed="false">
      <c r="B129" s="4" t="s">
        <v>157</v>
      </c>
      <c r="C129" s="4"/>
      <c r="D129" s="4"/>
      <c r="E129" s="4"/>
      <c r="F129" s="4"/>
      <c r="G129" s="4"/>
      <c r="H129" s="4"/>
      <c r="I129" s="4"/>
    </row>
    <row r="130" customFormat="false" ht="31.5" hidden="false" customHeight="true" outlineLevel="0" collapsed="false">
      <c r="B130" s="16" t="s">
        <v>158</v>
      </c>
      <c r="C130" s="16"/>
      <c r="D130" s="16"/>
      <c r="E130" s="16"/>
      <c r="F130" s="16"/>
      <c r="G130" s="16"/>
      <c r="H130" s="16"/>
      <c r="I130" s="16"/>
    </row>
    <row r="131" customFormat="false" ht="21.75" hidden="false" customHeight="true" outlineLevel="0" collapsed="false">
      <c r="B131" s="22" t="s">
        <v>56</v>
      </c>
      <c r="C131" s="23" t="s">
        <v>159</v>
      </c>
      <c r="D131" s="23"/>
      <c r="E131" s="23"/>
      <c r="F131" s="17" t="s">
        <v>58</v>
      </c>
      <c r="G131" s="24" t="s">
        <v>160</v>
      </c>
      <c r="H131" s="24"/>
      <c r="I131" s="24"/>
    </row>
    <row r="133" customFormat="false" ht="21.75" hidden="false" customHeight="true" outlineLevel="0" collapsed="false">
      <c r="B133" s="25" t="s">
        <v>161</v>
      </c>
      <c r="C133" s="25"/>
      <c r="D133" s="25"/>
      <c r="E133" s="25"/>
      <c r="F133" s="25"/>
      <c r="G133" s="25"/>
      <c r="H133" s="25"/>
      <c r="I133" s="25"/>
    </row>
    <row r="134" customFormat="false" ht="27.75" hidden="false" customHeight="true" outlineLevel="0" collapsed="false">
      <c r="B134" s="26" t="s">
        <v>162</v>
      </c>
      <c r="C134" s="26"/>
      <c r="D134" s="26"/>
      <c r="E134" s="26"/>
      <c r="F134" s="26" t="s">
        <v>76</v>
      </c>
      <c r="G134" s="26" t="s">
        <v>163</v>
      </c>
      <c r="H134" s="27" t="s">
        <v>67</v>
      </c>
      <c r="I134" s="27"/>
    </row>
    <row r="135" customFormat="false" ht="19.5" hidden="false" customHeight="true" outlineLevel="0" collapsed="false">
      <c r="B135" s="7" t="s">
        <v>164</v>
      </c>
      <c r="C135" s="39"/>
      <c r="D135" s="29"/>
      <c r="E135" s="39"/>
      <c r="F135" s="30" t="n">
        <f aca="false">C135*D135*E135</f>
        <v>0</v>
      </c>
      <c r="G135" s="12" t="s">
        <v>165</v>
      </c>
      <c r="H135" s="19"/>
      <c r="I135" s="19"/>
    </row>
    <row r="136" customFormat="false" ht="19.5" hidden="false" customHeight="true" outlineLevel="0" collapsed="false">
      <c r="B136" s="7" t="s">
        <v>166</v>
      </c>
      <c r="C136" s="39"/>
      <c r="D136" s="29"/>
      <c r="E136" s="39"/>
      <c r="F136" s="30" t="n">
        <f aca="false">C136*D136*E136</f>
        <v>0</v>
      </c>
      <c r="G136" s="12" t="s">
        <v>167</v>
      </c>
      <c r="H136" s="19"/>
      <c r="I136" s="19"/>
    </row>
    <row r="137" customFormat="false" ht="19.5" hidden="false" customHeight="true" outlineLevel="0" collapsed="false">
      <c r="B137" s="7" t="s">
        <v>168</v>
      </c>
      <c r="C137" s="39"/>
      <c r="D137" s="29"/>
      <c r="E137" s="39"/>
      <c r="F137" s="30" t="n">
        <f aca="false">C137*D137*E137</f>
        <v>0</v>
      </c>
      <c r="G137" s="12" t="s">
        <v>169</v>
      </c>
      <c r="H137" s="19"/>
      <c r="I137" s="19"/>
    </row>
    <row r="138" customFormat="false" ht="21.75" hidden="false" customHeight="true" outlineLevel="0" collapsed="false">
      <c r="B138" s="31" t="s">
        <v>70</v>
      </c>
      <c r="C138" s="31"/>
      <c r="D138" s="31"/>
      <c r="E138" s="31"/>
      <c r="F138" s="32" t="n">
        <f aca="false">SUM(F135:F137)</f>
        <v>0</v>
      </c>
      <c r="G138" s="20"/>
      <c r="H138" s="20"/>
      <c r="I138" s="20"/>
    </row>
    <row r="140" customFormat="false" ht="21.75" hidden="false" customHeight="true" outlineLevel="0" collapsed="false">
      <c r="B140" s="25" t="s">
        <v>170</v>
      </c>
      <c r="C140" s="25"/>
      <c r="D140" s="25"/>
      <c r="E140" s="25"/>
      <c r="F140" s="25"/>
      <c r="G140" s="25"/>
      <c r="H140" s="25"/>
      <c r="I140" s="25"/>
    </row>
    <row r="141" customFormat="false" ht="21.75" hidden="false" customHeight="true" outlineLevel="0" collapsed="false">
      <c r="B141" s="17" t="s">
        <v>171</v>
      </c>
      <c r="C141" s="17"/>
      <c r="D141" s="17"/>
      <c r="E141" s="17"/>
      <c r="F141" s="29"/>
      <c r="G141" s="19"/>
      <c r="H141" s="19"/>
      <c r="I141" s="19"/>
    </row>
    <row r="143" customFormat="false" ht="24" hidden="false" customHeight="true" outlineLevel="0" collapsed="false">
      <c r="B143" s="35" t="s">
        <v>172</v>
      </c>
      <c r="C143" s="35"/>
      <c r="D143" s="35"/>
      <c r="E143" s="35"/>
      <c r="F143" s="36"/>
      <c r="G143" s="36"/>
      <c r="H143" s="37" t="n">
        <f aca="false">IF(C131="Detailed (hourly rate × hours per category)",F138,F141)</f>
        <v>0</v>
      </c>
      <c r="I143" s="36"/>
    </row>
    <row r="145" customFormat="false" ht="25.5" hidden="false" customHeight="true" outlineLevel="0" collapsed="false">
      <c r="B145" s="4" t="s">
        <v>173</v>
      </c>
      <c r="C145" s="4"/>
      <c r="D145" s="4"/>
      <c r="E145" s="4"/>
      <c r="F145" s="4"/>
      <c r="G145" s="4"/>
      <c r="H145" s="4"/>
      <c r="I145" s="4"/>
    </row>
    <row r="146" customFormat="false" ht="31.5" hidden="false" customHeight="true" outlineLevel="0" collapsed="false">
      <c r="B146" s="16" t="s">
        <v>174</v>
      </c>
      <c r="C146" s="16"/>
      <c r="D146" s="16"/>
      <c r="E146" s="16"/>
      <c r="F146" s="16"/>
      <c r="G146" s="16"/>
      <c r="H146" s="16"/>
      <c r="I146" s="16"/>
    </row>
    <row r="147" customFormat="false" ht="21.75" hidden="false" customHeight="true" outlineLevel="0" collapsed="false">
      <c r="B147" s="22" t="s">
        <v>56</v>
      </c>
      <c r="C147" s="23" t="s">
        <v>175</v>
      </c>
      <c r="D147" s="23"/>
      <c r="E147" s="23"/>
      <c r="F147" s="17" t="s">
        <v>58</v>
      </c>
      <c r="G147" s="24" t="s">
        <v>176</v>
      </c>
      <c r="H147" s="24"/>
      <c r="I147" s="24"/>
    </row>
    <row r="149" customFormat="false" ht="21.75" hidden="false" customHeight="true" outlineLevel="0" collapsed="false">
      <c r="B149" s="25" t="s">
        <v>177</v>
      </c>
      <c r="C149" s="25"/>
      <c r="D149" s="25"/>
      <c r="E149" s="25"/>
      <c r="F149" s="25"/>
      <c r="G149" s="25"/>
      <c r="H149" s="25"/>
      <c r="I149" s="25"/>
    </row>
    <row r="150" customFormat="false" ht="27.75" hidden="false" customHeight="true" outlineLevel="0" collapsed="false">
      <c r="B150" s="26" t="s">
        <v>178</v>
      </c>
      <c r="C150" s="26"/>
      <c r="D150" s="26" t="s">
        <v>179</v>
      </c>
      <c r="E150" s="26" t="s">
        <v>76</v>
      </c>
      <c r="F150" s="26"/>
      <c r="G150" s="26" t="s">
        <v>180</v>
      </c>
      <c r="H150" s="27" t="s">
        <v>67</v>
      </c>
      <c r="I150" s="27"/>
    </row>
    <row r="151" customFormat="false" ht="19.5" hidden="false" customHeight="true" outlineLevel="0" collapsed="false">
      <c r="B151" s="7" t="s">
        <v>181</v>
      </c>
      <c r="C151" s="28"/>
      <c r="D151" s="29" t="n">
        <v>45</v>
      </c>
      <c r="E151" s="30" t="n">
        <f aca="false">C151*D151</f>
        <v>0</v>
      </c>
      <c r="F151" s="34"/>
      <c r="G151" s="12" t="s">
        <v>182</v>
      </c>
      <c r="H151" s="19"/>
      <c r="I151" s="19"/>
    </row>
    <row r="152" customFormat="false" ht="19.5" hidden="false" customHeight="true" outlineLevel="0" collapsed="false">
      <c r="B152" s="7" t="s">
        <v>183</v>
      </c>
      <c r="C152" s="28"/>
      <c r="D152" s="29" t="n">
        <v>90</v>
      </c>
      <c r="E152" s="30" t="n">
        <f aca="false">C152*D152</f>
        <v>0</v>
      </c>
      <c r="F152" s="34"/>
      <c r="G152" s="12" t="s">
        <v>184</v>
      </c>
      <c r="H152" s="19"/>
      <c r="I152" s="19"/>
    </row>
    <row r="153" customFormat="false" ht="19.5" hidden="false" customHeight="true" outlineLevel="0" collapsed="false">
      <c r="B153" s="7" t="s">
        <v>185</v>
      </c>
      <c r="C153" s="28"/>
      <c r="D153" s="29" t="n">
        <v>135</v>
      </c>
      <c r="E153" s="30" t="n">
        <f aca="false">C153*D153</f>
        <v>0</v>
      </c>
      <c r="F153" s="34"/>
      <c r="G153" s="12" t="s">
        <v>186</v>
      </c>
      <c r="H153" s="19"/>
      <c r="I153" s="19"/>
    </row>
    <row r="154" customFormat="false" ht="19.5" hidden="false" customHeight="true" outlineLevel="0" collapsed="false">
      <c r="B154" s="7" t="s">
        <v>187</v>
      </c>
      <c r="C154" s="28"/>
      <c r="D154" s="29" t="n">
        <v>180</v>
      </c>
      <c r="E154" s="30" t="n">
        <f aca="false">C154*D154</f>
        <v>0</v>
      </c>
      <c r="F154" s="34"/>
      <c r="G154" s="12" t="s">
        <v>188</v>
      </c>
      <c r="H154" s="19"/>
      <c r="I154" s="19"/>
    </row>
    <row r="155" customFormat="false" ht="19.5" hidden="false" customHeight="true" outlineLevel="0" collapsed="false">
      <c r="B155" s="7" t="s">
        <v>189</v>
      </c>
      <c r="C155" s="28" t="n">
        <v>0</v>
      </c>
      <c r="D155" s="29" t="n">
        <v>225</v>
      </c>
      <c r="E155" s="30" t="n">
        <f aca="false">C155*D155</f>
        <v>0</v>
      </c>
      <c r="F155" s="34"/>
      <c r="G155" s="12" t="s">
        <v>190</v>
      </c>
      <c r="H155" s="19"/>
      <c r="I155" s="19"/>
    </row>
    <row r="156" customFormat="false" ht="21.75" hidden="false" customHeight="true" outlineLevel="0" collapsed="false">
      <c r="B156" s="31" t="s">
        <v>70</v>
      </c>
      <c r="C156" s="31"/>
      <c r="D156" s="31"/>
      <c r="E156" s="32" t="n">
        <f aca="false">SUM(E151:E155)</f>
        <v>0</v>
      </c>
      <c r="F156" s="20"/>
      <c r="G156" s="20"/>
      <c r="H156" s="20"/>
      <c r="I156" s="20"/>
    </row>
    <row r="158" customFormat="false" ht="21.75" hidden="false" customHeight="true" outlineLevel="0" collapsed="false">
      <c r="B158" s="25" t="s">
        <v>191</v>
      </c>
      <c r="C158" s="25"/>
      <c r="D158" s="25"/>
      <c r="E158" s="25"/>
      <c r="F158" s="25"/>
      <c r="G158" s="25"/>
      <c r="H158" s="25"/>
      <c r="I158" s="25"/>
    </row>
    <row r="159" customFormat="false" ht="21.75" hidden="false" customHeight="true" outlineLevel="0" collapsed="false">
      <c r="B159" s="17" t="s">
        <v>192</v>
      </c>
      <c r="C159" s="17"/>
      <c r="D159" s="17"/>
      <c r="E159" s="29"/>
      <c r="F159" s="19"/>
      <c r="G159" s="19"/>
      <c r="H159" s="19"/>
      <c r="I159" s="19"/>
    </row>
    <row r="161" customFormat="false" ht="24" hidden="false" customHeight="true" outlineLevel="0" collapsed="false">
      <c r="B161" s="35" t="s">
        <v>193</v>
      </c>
      <c r="C161" s="35"/>
      <c r="D161" s="35"/>
      <c r="E161" s="35"/>
      <c r="F161" s="36"/>
      <c r="G161" s="36"/>
      <c r="H161" s="37" t="n">
        <f aca="false">IF(C147="Per-NIC count × rate",E156,E159)</f>
        <v>0</v>
      </c>
      <c r="I161" s="36"/>
    </row>
    <row r="163" customFormat="false" ht="25.5" hidden="false" customHeight="true" outlineLevel="0" collapsed="false">
      <c r="B163" s="4" t="s">
        <v>194</v>
      </c>
      <c r="C163" s="4"/>
      <c r="D163" s="4"/>
      <c r="E163" s="4"/>
      <c r="F163" s="4"/>
      <c r="G163" s="4"/>
      <c r="H163" s="4"/>
      <c r="I163" s="4"/>
    </row>
    <row r="164" customFormat="false" ht="31.5" hidden="false" customHeight="true" outlineLevel="0" collapsed="false">
      <c r="B164" s="16" t="s">
        <v>195</v>
      </c>
      <c r="C164" s="16"/>
      <c r="D164" s="16"/>
      <c r="E164" s="16"/>
      <c r="F164" s="16"/>
      <c r="G164" s="16"/>
      <c r="H164" s="16"/>
      <c r="I164" s="16"/>
    </row>
    <row r="165" customFormat="false" ht="21.75" hidden="false" customHeight="true" outlineLevel="0" collapsed="false">
      <c r="B165" s="22" t="s">
        <v>56</v>
      </c>
      <c r="C165" s="23" t="s">
        <v>196</v>
      </c>
      <c r="D165" s="23"/>
      <c r="E165" s="23"/>
      <c r="F165" s="17" t="s">
        <v>58</v>
      </c>
      <c r="G165" s="24" t="s">
        <v>197</v>
      </c>
      <c r="H165" s="24"/>
      <c r="I165" s="24"/>
    </row>
    <row r="167" customFormat="false" ht="21.75" hidden="false" customHeight="true" outlineLevel="0" collapsed="false">
      <c r="B167" s="25" t="s">
        <v>198</v>
      </c>
      <c r="C167" s="25"/>
      <c r="D167" s="25"/>
      <c r="E167" s="25"/>
      <c r="F167" s="25"/>
      <c r="G167" s="25"/>
      <c r="H167" s="25"/>
      <c r="I167" s="25"/>
    </row>
    <row r="168" customFormat="false" ht="27.75" hidden="false" customHeight="true" outlineLevel="0" collapsed="false">
      <c r="B168" s="26" t="s">
        <v>199</v>
      </c>
      <c r="C168" s="26" t="s">
        <v>200</v>
      </c>
      <c r="D168" s="26"/>
      <c r="E168" s="26" t="s">
        <v>76</v>
      </c>
      <c r="F168" s="26"/>
      <c r="G168" s="26" t="s">
        <v>163</v>
      </c>
      <c r="H168" s="27" t="s">
        <v>67</v>
      </c>
      <c r="I168" s="27"/>
    </row>
    <row r="169" customFormat="false" ht="19.5" hidden="false" customHeight="true" outlineLevel="0" collapsed="false">
      <c r="B169" s="7" t="s">
        <v>201</v>
      </c>
      <c r="C169" s="29" t="n">
        <v>0.08</v>
      </c>
      <c r="D169" s="28"/>
      <c r="E169" s="30" t="n">
        <f aca="false">C169*D169</f>
        <v>0</v>
      </c>
      <c r="F169" s="34"/>
      <c r="G169" s="12" t="s">
        <v>202</v>
      </c>
      <c r="H169" s="19"/>
      <c r="I169" s="19"/>
    </row>
    <row r="170" customFormat="false" ht="19.5" hidden="false" customHeight="true" outlineLevel="0" collapsed="false">
      <c r="B170" s="7" t="s">
        <v>203</v>
      </c>
      <c r="C170" s="29" t="n">
        <v>50</v>
      </c>
      <c r="D170" s="28"/>
      <c r="E170" s="30" t="n">
        <f aca="false">C170*D170</f>
        <v>0</v>
      </c>
      <c r="F170" s="34"/>
      <c r="G170" s="12" t="s">
        <v>204</v>
      </c>
      <c r="H170" s="19"/>
      <c r="I170" s="19"/>
    </row>
    <row r="171" customFormat="false" ht="21.75" hidden="false" customHeight="true" outlineLevel="0" collapsed="false">
      <c r="B171" s="31" t="s">
        <v>70</v>
      </c>
      <c r="C171" s="31"/>
      <c r="D171" s="31"/>
      <c r="E171" s="32" t="n">
        <f aca="false">SUM(E169:E170)</f>
        <v>0</v>
      </c>
      <c r="F171" s="20"/>
      <c r="G171" s="20"/>
      <c r="H171" s="20"/>
      <c r="I171" s="20"/>
    </row>
    <row r="173" customFormat="false" ht="21.75" hidden="false" customHeight="true" outlineLevel="0" collapsed="false">
      <c r="B173" s="25" t="s">
        <v>205</v>
      </c>
      <c r="C173" s="25"/>
      <c r="D173" s="25"/>
      <c r="E173" s="25"/>
      <c r="F173" s="25"/>
      <c r="G173" s="25"/>
      <c r="H173" s="25"/>
      <c r="I173" s="25"/>
    </row>
    <row r="174" customFormat="false" ht="21.75" hidden="false" customHeight="true" outlineLevel="0" collapsed="false">
      <c r="B174" s="17" t="s">
        <v>206</v>
      </c>
      <c r="C174" s="17"/>
      <c r="D174" s="17"/>
      <c r="E174" s="29"/>
      <c r="F174" s="19"/>
      <c r="G174" s="19"/>
      <c r="H174" s="19"/>
      <c r="I174" s="19"/>
    </row>
    <row r="176" customFormat="false" ht="24" hidden="false" customHeight="true" outlineLevel="0" collapsed="false">
      <c r="B176" s="35" t="s">
        <v>207</v>
      </c>
      <c r="C176" s="35"/>
      <c r="D176" s="35"/>
      <c r="E176" s="35"/>
      <c r="F176" s="36"/>
      <c r="G176" s="36"/>
      <c r="H176" s="37" t="n">
        <f aca="false">IF(C165="Detailed (kWh + rack rate)",E171,E174)</f>
        <v>0</v>
      </c>
      <c r="I176" s="36"/>
    </row>
    <row r="177" customFormat="false" ht="15" hidden="false" customHeight="true" outlineLevel="0" collapsed="false">
      <c r="F177" s="17" t="s">
        <v>58</v>
      </c>
      <c r="G177" s="24" t="s">
        <v>208</v>
      </c>
      <c r="H177" s="24"/>
      <c r="I177" s="24"/>
    </row>
    <row r="178" customFormat="false" ht="25.5" hidden="false" customHeight="true" outlineLevel="0" collapsed="false">
      <c r="B178" s="4" t="s">
        <v>209</v>
      </c>
      <c r="C178" s="4"/>
      <c r="D178" s="4"/>
      <c r="E178" s="4"/>
      <c r="F178" s="4"/>
      <c r="G178" s="4"/>
      <c r="H178" s="4"/>
      <c r="I178" s="4"/>
    </row>
    <row r="179" customFormat="false" ht="31.5" hidden="false" customHeight="true" outlineLevel="0" collapsed="false">
      <c r="B179" s="16" t="s">
        <v>210</v>
      </c>
      <c r="C179" s="16"/>
      <c r="D179" s="16"/>
      <c r="E179" s="16"/>
      <c r="F179" s="16"/>
      <c r="G179" s="16"/>
      <c r="H179" s="16"/>
      <c r="I179" s="16"/>
    </row>
    <row r="180" customFormat="false" ht="21.75" hidden="false" customHeight="true" outlineLevel="0" collapsed="false">
      <c r="B180" s="25" t="s">
        <v>211</v>
      </c>
      <c r="C180" s="25"/>
      <c r="D180" s="25"/>
      <c r="E180" s="25"/>
      <c r="F180" s="25"/>
      <c r="G180" s="25"/>
      <c r="H180" s="25"/>
      <c r="I180" s="25"/>
    </row>
    <row r="181" customFormat="false" ht="27.75" hidden="false" customHeight="true" outlineLevel="0" collapsed="false">
      <c r="B181" s="26" t="s">
        <v>212</v>
      </c>
      <c r="C181" s="26" t="s">
        <v>213</v>
      </c>
      <c r="D181" s="26" t="s">
        <v>214</v>
      </c>
      <c r="E181" s="26" t="s">
        <v>215</v>
      </c>
      <c r="F181" s="26" t="s">
        <v>216</v>
      </c>
      <c r="G181" s="26" t="s">
        <v>217</v>
      </c>
      <c r="H181" s="27" t="s">
        <v>67</v>
      </c>
      <c r="I181" s="27"/>
    </row>
    <row r="182" customFormat="false" ht="18" hidden="false" customHeight="true" outlineLevel="0" collapsed="false">
      <c r="B182" s="33"/>
      <c r="C182" s="33"/>
      <c r="D182" s="33"/>
      <c r="E182" s="33"/>
      <c r="F182" s="29" t="n">
        <v>0</v>
      </c>
      <c r="G182" s="33"/>
      <c r="H182" s="19"/>
      <c r="I182" s="19"/>
    </row>
    <row r="183" customFormat="false" ht="18" hidden="false" customHeight="true" outlineLevel="0" collapsed="false">
      <c r="B183" s="33"/>
      <c r="C183" s="33"/>
      <c r="D183" s="33"/>
      <c r="E183" s="33"/>
      <c r="F183" s="29" t="n">
        <v>0</v>
      </c>
      <c r="G183" s="33"/>
      <c r="H183" s="19"/>
      <c r="I183" s="19"/>
    </row>
    <row r="184" customFormat="false" ht="18" hidden="false" customHeight="true" outlineLevel="0" collapsed="false">
      <c r="B184" s="33"/>
      <c r="C184" s="33"/>
      <c r="D184" s="33"/>
      <c r="E184" s="33"/>
      <c r="F184" s="29" t="n">
        <v>0</v>
      </c>
      <c r="G184" s="33"/>
      <c r="H184" s="19"/>
      <c r="I184" s="19"/>
    </row>
    <row r="185" customFormat="false" ht="18" hidden="false" customHeight="true" outlineLevel="0" collapsed="false">
      <c r="B185" s="33"/>
      <c r="C185" s="33"/>
      <c r="D185" s="33"/>
      <c r="E185" s="33"/>
      <c r="F185" s="29" t="n">
        <v>0</v>
      </c>
      <c r="G185" s="33"/>
      <c r="H185" s="19"/>
      <c r="I185" s="19"/>
    </row>
    <row r="186" customFormat="false" ht="18" hidden="false" customHeight="true" outlineLevel="0" collapsed="false">
      <c r="B186" s="33"/>
      <c r="C186" s="33"/>
      <c r="D186" s="33"/>
      <c r="E186" s="33"/>
      <c r="F186" s="29" t="n">
        <v>0</v>
      </c>
      <c r="G186" s="33"/>
      <c r="H186" s="19"/>
      <c r="I186" s="19"/>
    </row>
    <row r="187" customFormat="false" ht="18" hidden="false" customHeight="true" outlineLevel="0" collapsed="false">
      <c r="B187" s="33"/>
      <c r="C187" s="33"/>
      <c r="D187" s="33"/>
      <c r="E187" s="33"/>
      <c r="F187" s="29" t="n">
        <v>0</v>
      </c>
      <c r="G187" s="33"/>
      <c r="H187" s="19"/>
      <c r="I187" s="19"/>
    </row>
    <row r="188" customFormat="false" ht="18" hidden="false" customHeight="true" outlineLevel="0" collapsed="false">
      <c r="B188" s="33"/>
      <c r="C188" s="33"/>
      <c r="D188" s="33"/>
      <c r="E188" s="33"/>
      <c r="F188" s="29" t="n">
        <v>0</v>
      </c>
      <c r="G188" s="33"/>
      <c r="H188" s="19"/>
      <c r="I188" s="19"/>
    </row>
    <row r="189" customFormat="false" ht="18" hidden="false" customHeight="true" outlineLevel="0" collapsed="false">
      <c r="B189" s="33"/>
      <c r="C189" s="33"/>
      <c r="D189" s="33"/>
      <c r="E189" s="33"/>
      <c r="F189" s="29" t="n">
        <v>0</v>
      </c>
      <c r="G189" s="33"/>
      <c r="H189" s="19"/>
      <c r="I189" s="19"/>
    </row>
    <row r="190" customFormat="false" ht="18" hidden="false" customHeight="true" outlineLevel="0" collapsed="false">
      <c r="B190" s="33"/>
      <c r="C190" s="33"/>
      <c r="D190" s="33"/>
      <c r="E190" s="33"/>
      <c r="F190" s="29" t="n">
        <v>0</v>
      </c>
      <c r="G190" s="33"/>
      <c r="H190" s="19"/>
      <c r="I190" s="19"/>
    </row>
    <row r="191" customFormat="false" ht="18" hidden="false" customHeight="true" outlineLevel="0" collapsed="false">
      <c r="B191" s="33"/>
      <c r="C191" s="33"/>
      <c r="D191" s="33"/>
      <c r="E191" s="33"/>
      <c r="F191" s="29" t="n">
        <v>0</v>
      </c>
      <c r="G191" s="33"/>
      <c r="H191" s="19"/>
      <c r="I191" s="19"/>
    </row>
    <row r="192" customFormat="false" ht="21.75" hidden="false" customHeight="true" outlineLevel="0" collapsed="false">
      <c r="B192" s="31" t="s">
        <v>218</v>
      </c>
      <c r="C192" s="31"/>
      <c r="D192" s="31"/>
      <c r="E192" s="31"/>
      <c r="F192" s="32" t="n">
        <f aca="false">SUM(F182:F191)</f>
        <v>0</v>
      </c>
      <c r="G192" s="20"/>
      <c r="H192" s="20"/>
      <c r="I192" s="20"/>
    </row>
    <row r="194" customFormat="false" ht="24" hidden="false" customHeight="true" outlineLevel="0" collapsed="false">
      <c r="B194" s="35" t="s">
        <v>219</v>
      </c>
      <c r="C194" s="35"/>
      <c r="D194" s="35"/>
      <c r="E194" s="35"/>
      <c r="F194" s="36"/>
      <c r="G194" s="36"/>
      <c r="H194" s="37" t="n">
        <f aca="false">F192</f>
        <v>0</v>
      </c>
      <c r="I194" s="36"/>
    </row>
    <row r="197" customFormat="false" ht="33.75" hidden="false" customHeight="true" outlineLevel="0" collapsed="false">
      <c r="B197" s="41" t="s">
        <v>220</v>
      </c>
      <c r="C197" s="41"/>
      <c r="D197" s="41"/>
      <c r="E197" s="41"/>
      <c r="F197" s="41"/>
      <c r="G197" s="41"/>
      <c r="H197" s="41"/>
      <c r="I197" s="41"/>
    </row>
    <row r="198" customFormat="false" ht="30" hidden="false" customHeight="true" outlineLevel="0" collapsed="false">
      <c r="B198" s="42" t="s">
        <v>221</v>
      </c>
      <c r="C198" s="42"/>
      <c r="D198" s="42"/>
      <c r="E198" s="42"/>
      <c r="F198" s="42"/>
      <c r="G198" s="42"/>
      <c r="H198" s="43" t="n">
        <f aca="false">H33 + H56 + H87 + H112 + H127 + H143 + H161 + H176 + H194</f>
        <v>0</v>
      </c>
      <c r="I198" s="44"/>
    </row>
    <row r="199" customFormat="false" ht="30" hidden="false" customHeight="true" outlineLevel="0" collapsed="false">
      <c r="B199" s="45" t="s">
        <v>222</v>
      </c>
      <c r="C199" s="45"/>
      <c r="D199" s="45"/>
      <c r="E199" s="45"/>
      <c r="F199" s="45"/>
      <c r="G199" s="45"/>
      <c r="H199" s="46" t="n">
        <f aca="false">H198*12</f>
        <v>0</v>
      </c>
      <c r="I199" s="47"/>
    </row>
  </sheetData>
  <mergeCells count="174">
    <mergeCell ref="B2:I2"/>
    <mergeCell ref="B9:I9"/>
    <mergeCell ref="B10:I10"/>
    <mergeCell ref="C11:E11"/>
    <mergeCell ref="G11:I11"/>
    <mergeCell ref="B13:I13"/>
    <mergeCell ref="H14:I14"/>
    <mergeCell ref="H15:I15"/>
    <mergeCell ref="H16:I16"/>
    <mergeCell ref="B17:F17"/>
    <mergeCell ref="H17:I17"/>
    <mergeCell ref="B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B31:E31"/>
    <mergeCell ref="B33:E33"/>
    <mergeCell ref="B35:I35"/>
    <mergeCell ref="B36:I36"/>
    <mergeCell ref="C37:E37"/>
    <mergeCell ref="G37:I37"/>
    <mergeCell ref="B39:I39"/>
    <mergeCell ref="H40:I40"/>
    <mergeCell ref="H41:I41"/>
    <mergeCell ref="H42:I42"/>
    <mergeCell ref="H43:I43"/>
    <mergeCell ref="B44:F44"/>
    <mergeCell ref="H44:I44"/>
    <mergeCell ref="B46:I46"/>
    <mergeCell ref="H47:I47"/>
    <mergeCell ref="H48:I48"/>
    <mergeCell ref="H49:I49"/>
    <mergeCell ref="H50:I50"/>
    <mergeCell ref="H51:I51"/>
    <mergeCell ref="H52:I52"/>
    <mergeCell ref="H53:I53"/>
    <mergeCell ref="B54:E54"/>
    <mergeCell ref="B56:E56"/>
    <mergeCell ref="B58:I58"/>
    <mergeCell ref="B59:I59"/>
    <mergeCell ref="C60:E60"/>
    <mergeCell ref="G60:I60"/>
    <mergeCell ref="B62:I62"/>
    <mergeCell ref="B63:F63"/>
    <mergeCell ref="H63:I63"/>
    <mergeCell ref="B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B85:E85"/>
    <mergeCell ref="B87:E87"/>
    <mergeCell ref="B89:I89"/>
    <mergeCell ref="B90:I90"/>
    <mergeCell ref="C91:E91"/>
    <mergeCell ref="G91:I91"/>
    <mergeCell ref="B93:I93"/>
    <mergeCell ref="B94:F94"/>
    <mergeCell ref="H94:I94"/>
    <mergeCell ref="B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B110:D110"/>
    <mergeCell ref="B112:E112"/>
    <mergeCell ref="B114:I114"/>
    <mergeCell ref="B115:I115"/>
    <mergeCell ref="C116:E116"/>
    <mergeCell ref="G116:I116"/>
    <mergeCell ref="B118:I118"/>
    <mergeCell ref="H119:I119"/>
    <mergeCell ref="H120:I120"/>
    <mergeCell ref="H121:I121"/>
    <mergeCell ref="B122:E122"/>
    <mergeCell ref="B124:I124"/>
    <mergeCell ref="B125:E125"/>
    <mergeCell ref="G125:I125"/>
    <mergeCell ref="B127:E127"/>
    <mergeCell ref="B129:I129"/>
    <mergeCell ref="B130:I130"/>
    <mergeCell ref="C131:E131"/>
    <mergeCell ref="G131:I131"/>
    <mergeCell ref="B133:I133"/>
    <mergeCell ref="H134:I134"/>
    <mergeCell ref="H135:I135"/>
    <mergeCell ref="H136:I136"/>
    <mergeCell ref="H137:I137"/>
    <mergeCell ref="B138:E138"/>
    <mergeCell ref="B140:I140"/>
    <mergeCell ref="B141:E141"/>
    <mergeCell ref="G141:I141"/>
    <mergeCell ref="B143:E143"/>
    <mergeCell ref="B145:I145"/>
    <mergeCell ref="B146:I146"/>
    <mergeCell ref="C147:E147"/>
    <mergeCell ref="G147:I147"/>
    <mergeCell ref="B149:I149"/>
    <mergeCell ref="H150:I150"/>
    <mergeCell ref="H151:I151"/>
    <mergeCell ref="H152:I152"/>
    <mergeCell ref="H153:I153"/>
    <mergeCell ref="H154:I154"/>
    <mergeCell ref="H155:I155"/>
    <mergeCell ref="B156:D156"/>
    <mergeCell ref="B158:I158"/>
    <mergeCell ref="B159:D159"/>
    <mergeCell ref="F159:I159"/>
    <mergeCell ref="B161:E161"/>
    <mergeCell ref="B163:I163"/>
    <mergeCell ref="B164:I164"/>
    <mergeCell ref="C165:E165"/>
    <mergeCell ref="G165:I165"/>
    <mergeCell ref="B167:I167"/>
    <mergeCell ref="H168:I168"/>
    <mergeCell ref="H169:I169"/>
    <mergeCell ref="H170:I170"/>
    <mergeCell ref="B171:D171"/>
    <mergeCell ref="B173:I173"/>
    <mergeCell ref="B174:D174"/>
    <mergeCell ref="F174:I174"/>
    <mergeCell ref="B176:E176"/>
    <mergeCell ref="G177:I177"/>
    <mergeCell ref="B178:I178"/>
    <mergeCell ref="B179:I179"/>
    <mergeCell ref="B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B192:E192"/>
    <mergeCell ref="B194:E194"/>
    <mergeCell ref="B197:I197"/>
    <mergeCell ref="B198:G198"/>
    <mergeCell ref="B199:G199"/>
  </mergeCells>
  <dataValidations count="11">
    <dataValidation allowBlank="true" errorStyle="stop" operator="between" showDropDown="false" showErrorMessage="false" showInputMessage="false" sqref="C7" type="list">
      <formula1>"Edit for All Datacenters,Edit for Specific Datacenter"</formula1>
      <formula2>0</formula2>
    </dataValidation>
    <dataValidation allowBlank="true" errorStyle="stop" operator="between" showDropDown="false" showErrorMessage="false" showInputMessage="false" sqref="C11" type="list">
      <formula1>"Average cost for all servers,Granular cost per server (itemized below)"</formula1>
      <formula2>0</formula2>
    </dataValidation>
    <dataValidation allowBlank="true" errorStyle="stop" operator="between" showDropDown="false" showErrorMessage="false" showInputMessage="false" sqref="C37" type="list">
      <formula1>"Average cost for all storage systems,Granular cost per storage array"</formula1>
      <formula2>0</formula2>
    </dataValidation>
    <dataValidation allowBlank="true" errorStyle="stop" operator="between" showDropDown="false" showErrorMessage="false" showInputMessage="false" sqref="C60" type="list">
      <formula1>"Aggregate monthly license spend,Itemized per license SKU"</formula1>
      <formula2>0</formula2>
    </dataValidation>
    <dataValidation allowBlank="true" errorStyle="stop" operator="between" showDropDown="false" showErrorMessage="false" showInputMessage="false" sqref="C91" type="list">
      <formula1>"Aggregate monthly application spend,Itemized per application"</formula1>
      <formula2>0</formula2>
    </dataValidation>
    <dataValidation allowBlank="true" errorStyle="stop" operator="between" showDropDown="false" showErrorMessage="false" showInputMessage="false" sqref="C116" type="list">
      <formula1>"Percentage-based (recommended),Direct monthly expense"</formula1>
      <formula2>0</formula2>
    </dataValidation>
    <dataValidation allowBlank="true" errorStyle="stop" operator="between" showDropDown="false" showErrorMessage="false" showInputMessage="false" sqref="C131" type="list">
      <formula1>"Detailed (hourly rate × hours per category),Total monthly labor spend"</formula1>
      <formula2>0</formula2>
    </dataValidation>
    <dataValidation allowBlank="true" errorStyle="stop" operator="between" showDropDown="false" showErrorMessage="false" showInputMessage="false" sqref="C147" type="list">
      <formula1>"Per-NIC count × rate,Total monthly network expense"</formula1>
      <formula2>0</formula2>
    </dataValidation>
    <dataValidation allowBlank="true" errorStyle="stop" operator="between" showDropDown="false" showErrorMessage="false" showInputMessage="false" sqref="C165" type="list">
      <formula1>"Detailed (kWh + rack rate),Total monthly facilities expense"</formula1>
      <formula2>0</formula2>
    </dataValidation>
    <dataValidation allowBlank="true" errorStyle="stop" operator="between" showDropDown="false" showErrorMessage="false" showInputMessage="false" sqref="C182:C191" type="list">
      <formula1>"All,Datacenter,Cluster,Host,VM,Department,Program"</formula1>
      <formula2>0</formula2>
    </dataValidation>
    <dataValidation allowBlank="true" errorStyle="stop" operator="between" showDropDown="false" showErrorMessage="false" showInputMessage="false" sqref="G182:G191" type="list">
      <formula1>"Monthly,Quarterly,Annual,One-time"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102" activePane="bottomRight" state="frozen"/>
      <selection pane="topLeft" activeCell="A1" activeCellId="0" sqref="A1"/>
      <selection pane="topRight" activeCell="B1" activeCellId="0" sqref="B1"/>
      <selection pane="bottomLeft" activeCell="A102" activeCellId="0" sqref="A102"/>
      <selection pane="bottomRight" activeCell="H182" activeCellId="0" sqref="H18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20"/>
    <col collapsed="false" customWidth="true" hidden="false" outlineLevel="0" max="8" min="8" style="1" width="22"/>
    <col collapsed="false" customWidth="true" hidden="false" outlineLevel="0" max="9" min="9" style="1" width="40"/>
    <col collapsed="false" customWidth="true" hidden="false" outlineLevel="0" max="10" min="10" style="1" width="3"/>
  </cols>
  <sheetData>
    <row r="2" customFormat="false" ht="33.75" hidden="false" customHeight="true" outlineLevel="0" collapsed="false">
      <c r="B2" s="2" t="s">
        <v>228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17" t="s">
        <v>45</v>
      </c>
      <c r="C4" s="18" t="s">
        <v>38</v>
      </c>
      <c r="D4" s="18"/>
      <c r="E4" s="18"/>
      <c r="F4" s="18"/>
      <c r="G4" s="18"/>
      <c r="H4" s="17" t="s">
        <v>47</v>
      </c>
      <c r="I4" s="19"/>
    </row>
    <row r="5" customFormat="false" ht="21.75" hidden="false" customHeight="true" outlineLevel="0" collapsed="false">
      <c r="B5" s="17" t="s">
        <v>48</v>
      </c>
      <c r="C5" s="19" t="s">
        <v>49</v>
      </c>
      <c r="D5" s="18"/>
      <c r="E5" s="18"/>
      <c r="F5" s="18"/>
      <c r="G5" s="18"/>
      <c r="H5" s="20"/>
      <c r="I5" s="19"/>
    </row>
    <row r="6" customFormat="false" ht="21.75" hidden="false" customHeight="true" outlineLevel="0" collapsed="false">
      <c r="B6" s="17" t="s">
        <v>50</v>
      </c>
      <c r="C6" s="21" t="s">
        <v>51</v>
      </c>
      <c r="D6" s="18"/>
      <c r="E6" s="18"/>
      <c r="F6" s="18"/>
      <c r="G6" s="18"/>
      <c r="H6" s="20"/>
      <c r="I6" s="19"/>
    </row>
    <row r="7" customFormat="false" ht="21.75" hidden="false" customHeight="true" outlineLevel="0" collapsed="false">
      <c r="B7" s="17" t="s">
        <v>52</v>
      </c>
      <c r="C7" s="18" t="s">
        <v>53</v>
      </c>
      <c r="D7" s="18"/>
      <c r="E7" s="18"/>
      <c r="F7" s="18"/>
      <c r="G7" s="18"/>
      <c r="H7" s="20"/>
      <c r="I7" s="19"/>
    </row>
    <row r="8" customFormat="false" ht="21.75" hidden="false" customHeight="true" outlineLevel="0" collapsed="false">
      <c r="B8" s="20"/>
      <c r="C8" s="18"/>
      <c r="D8" s="18"/>
      <c r="E8" s="18"/>
      <c r="F8" s="18"/>
      <c r="G8" s="18"/>
      <c r="H8" s="20"/>
      <c r="I8" s="19"/>
    </row>
    <row r="10" customFormat="false" ht="25.5" hidden="false" customHeight="true" outlineLevel="0" collapsed="false">
      <c r="B10" s="4" t="s">
        <v>54</v>
      </c>
      <c r="C10" s="4"/>
      <c r="D10" s="4"/>
      <c r="E10" s="4"/>
      <c r="F10" s="4"/>
      <c r="G10" s="4"/>
      <c r="H10" s="4"/>
      <c r="I10" s="4"/>
    </row>
    <row r="11" customFormat="false" ht="31.5" hidden="false" customHeight="true" outlineLevel="0" collapsed="false">
      <c r="B11" s="16" t="s">
        <v>55</v>
      </c>
      <c r="C11" s="16"/>
      <c r="D11" s="16"/>
      <c r="E11" s="16"/>
      <c r="F11" s="16"/>
      <c r="G11" s="16"/>
      <c r="H11" s="16"/>
      <c r="I11" s="16"/>
    </row>
    <row r="12" customFormat="false" ht="21.75" hidden="false" customHeight="true" outlineLevel="0" collapsed="false">
      <c r="B12" s="22" t="s">
        <v>56</v>
      </c>
      <c r="C12" s="23" t="s">
        <v>57</v>
      </c>
      <c r="D12" s="23"/>
      <c r="E12" s="23"/>
      <c r="F12" s="17" t="s">
        <v>58</v>
      </c>
      <c r="G12" s="24" t="s">
        <v>59</v>
      </c>
      <c r="H12" s="24"/>
      <c r="I12" s="24"/>
    </row>
    <row r="14" customFormat="false" ht="21.75" hidden="false" customHeight="true" outlineLevel="0" collapsed="false">
      <c r="B14" s="25" t="s">
        <v>60</v>
      </c>
      <c r="C14" s="25"/>
      <c r="D14" s="25"/>
      <c r="E14" s="25"/>
      <c r="F14" s="25"/>
      <c r="G14" s="25"/>
      <c r="H14" s="25"/>
      <c r="I14" s="25"/>
    </row>
    <row r="15" customFormat="false" ht="27.75" hidden="false" customHeight="true" outlineLevel="0" collapsed="false">
      <c r="B15" s="26" t="s">
        <v>61</v>
      </c>
      <c r="C15" s="26" t="s">
        <v>62</v>
      </c>
      <c r="D15" s="26" t="s">
        <v>63</v>
      </c>
      <c r="E15" s="26" t="s">
        <v>64</v>
      </c>
      <c r="F15" s="26" t="s">
        <v>65</v>
      </c>
      <c r="G15" s="26" t="s">
        <v>66</v>
      </c>
      <c r="H15" s="27" t="s">
        <v>67</v>
      </c>
      <c r="I15" s="27"/>
    </row>
    <row r="16" customFormat="false" ht="19.5" hidden="false" customHeight="true" outlineLevel="0" collapsed="false">
      <c r="B16" s="7" t="s">
        <v>68</v>
      </c>
      <c r="C16" s="28"/>
      <c r="D16" s="29"/>
      <c r="E16" s="28" t="n">
        <v>60</v>
      </c>
      <c r="F16" s="30" t="n">
        <f aca="false">IFERROR(D16/E16,0)</f>
        <v>0</v>
      </c>
      <c r="G16" s="30" t="n">
        <f aca="false">C16*F16</f>
        <v>0</v>
      </c>
      <c r="H16" s="19"/>
      <c r="I16" s="19"/>
    </row>
    <row r="17" customFormat="false" ht="19.5" hidden="false" customHeight="true" outlineLevel="0" collapsed="false">
      <c r="B17" s="7" t="s">
        <v>69</v>
      </c>
      <c r="C17" s="28"/>
      <c r="D17" s="29"/>
      <c r="E17" s="28" t="n">
        <v>60</v>
      </c>
      <c r="F17" s="30" t="n">
        <f aca="false">IFERROR(D17/E17,0)</f>
        <v>0</v>
      </c>
      <c r="G17" s="30" t="n">
        <f aca="false">C17*F17</f>
        <v>0</v>
      </c>
      <c r="H17" s="19"/>
      <c r="I17" s="19"/>
    </row>
    <row r="18" customFormat="false" ht="21.75" hidden="false" customHeight="true" outlineLevel="0" collapsed="false">
      <c r="B18" s="31" t="s">
        <v>70</v>
      </c>
      <c r="C18" s="31"/>
      <c r="D18" s="31"/>
      <c r="E18" s="31"/>
      <c r="F18" s="31"/>
      <c r="G18" s="32" t="n">
        <f aca="false">SUM(G16:G17)</f>
        <v>0</v>
      </c>
      <c r="H18" s="20"/>
      <c r="I18" s="20"/>
    </row>
    <row r="20" customFormat="false" ht="21.75" hidden="false" customHeight="true" outlineLevel="0" collapsed="false">
      <c r="B20" s="25" t="s">
        <v>71</v>
      </c>
      <c r="C20" s="25"/>
      <c r="D20" s="25"/>
      <c r="E20" s="25"/>
      <c r="F20" s="25"/>
      <c r="G20" s="25"/>
      <c r="H20" s="25"/>
      <c r="I20" s="25"/>
    </row>
    <row r="21" customFormat="false" ht="27.75" hidden="false" customHeight="true" outlineLevel="0" collapsed="false">
      <c r="B21" s="26" t="s">
        <v>72</v>
      </c>
      <c r="C21" s="26" t="s">
        <v>73</v>
      </c>
      <c r="D21" s="26" t="s">
        <v>74</v>
      </c>
      <c r="E21" s="26" t="s">
        <v>75</v>
      </c>
      <c r="F21" s="26" t="s">
        <v>76</v>
      </c>
      <c r="G21" s="26"/>
      <c r="H21" s="27" t="s">
        <v>67</v>
      </c>
      <c r="I21" s="27"/>
    </row>
    <row r="22" customFormat="false" ht="18" hidden="false" customHeight="true" outlineLevel="0" collapsed="false">
      <c r="B22" s="33"/>
      <c r="C22" s="33"/>
      <c r="D22" s="29"/>
      <c r="E22" s="28"/>
      <c r="F22" s="30" t="str">
        <f aca="false">IF(AND(ISNUMBER(D22),ISNUMBER(E22),E22&gt;0),D22/E22,"")</f>
        <v/>
      </c>
      <c r="G22" s="34"/>
      <c r="H22" s="19"/>
      <c r="I22" s="19"/>
    </row>
    <row r="23" customFormat="false" ht="18" hidden="false" customHeight="true" outlineLevel="0" collapsed="false">
      <c r="B23" s="33"/>
      <c r="C23" s="33"/>
      <c r="D23" s="29"/>
      <c r="E23" s="28"/>
      <c r="F23" s="30" t="str">
        <f aca="false">IF(AND(ISNUMBER(D23),ISNUMBER(E23),E23&gt;0),D23/E23,"")</f>
        <v/>
      </c>
      <c r="G23" s="34"/>
      <c r="H23" s="19"/>
      <c r="I23" s="19"/>
    </row>
    <row r="24" customFormat="false" ht="18" hidden="false" customHeight="true" outlineLevel="0" collapsed="false">
      <c r="B24" s="33"/>
      <c r="C24" s="33"/>
      <c r="D24" s="29"/>
      <c r="E24" s="28"/>
      <c r="F24" s="30" t="str">
        <f aca="false">IF(AND(ISNUMBER(D24),ISNUMBER(E24),E24&gt;0),D24/E24,"")</f>
        <v/>
      </c>
      <c r="G24" s="34"/>
      <c r="H24" s="19"/>
      <c r="I24" s="19"/>
    </row>
    <row r="25" customFormat="false" ht="18" hidden="false" customHeight="true" outlineLevel="0" collapsed="false">
      <c r="B25" s="33"/>
      <c r="C25" s="33"/>
      <c r="D25" s="29"/>
      <c r="E25" s="28"/>
      <c r="F25" s="30" t="str">
        <f aca="false">IF(AND(ISNUMBER(D25),ISNUMBER(E25),E25&gt;0),D25/E25,"")</f>
        <v/>
      </c>
      <c r="G25" s="34"/>
      <c r="H25" s="19"/>
      <c r="I25" s="19"/>
    </row>
    <row r="26" customFormat="false" ht="18" hidden="false" customHeight="true" outlineLevel="0" collapsed="false">
      <c r="B26" s="33"/>
      <c r="C26" s="33"/>
      <c r="D26" s="29"/>
      <c r="E26" s="28"/>
      <c r="F26" s="30" t="str">
        <f aca="false">IF(AND(ISNUMBER(D26),ISNUMBER(E26),E26&gt;0),D26/E26,"")</f>
        <v/>
      </c>
      <c r="G26" s="34"/>
      <c r="H26" s="19"/>
      <c r="I26" s="19"/>
    </row>
    <row r="27" customFormat="false" ht="18" hidden="false" customHeight="true" outlineLevel="0" collapsed="false">
      <c r="B27" s="33"/>
      <c r="C27" s="33"/>
      <c r="D27" s="29"/>
      <c r="E27" s="28"/>
      <c r="F27" s="30" t="str">
        <f aca="false">IF(AND(ISNUMBER(D27),ISNUMBER(E27),E27&gt;0),D27/E27,"")</f>
        <v/>
      </c>
      <c r="G27" s="34"/>
      <c r="H27" s="19"/>
      <c r="I27" s="19"/>
    </row>
    <row r="28" customFormat="false" ht="18" hidden="false" customHeight="true" outlineLevel="0" collapsed="false">
      <c r="B28" s="33"/>
      <c r="C28" s="33"/>
      <c r="D28" s="29"/>
      <c r="E28" s="28"/>
      <c r="F28" s="30" t="str">
        <f aca="false">IF(AND(ISNUMBER(D28),ISNUMBER(E28),E28&gt;0),D28/E28,"")</f>
        <v/>
      </c>
      <c r="G28" s="34"/>
      <c r="H28" s="19"/>
      <c r="I28" s="19"/>
    </row>
    <row r="29" customFormat="false" ht="18" hidden="false" customHeight="true" outlineLevel="0" collapsed="false">
      <c r="B29" s="33"/>
      <c r="C29" s="33"/>
      <c r="D29" s="29"/>
      <c r="E29" s="28"/>
      <c r="F29" s="30" t="str">
        <f aca="false">IF(AND(ISNUMBER(D29),ISNUMBER(E29),E29&gt;0),D29/E29,"")</f>
        <v/>
      </c>
      <c r="G29" s="34"/>
      <c r="H29" s="19"/>
      <c r="I29" s="19"/>
    </row>
    <row r="30" customFormat="false" ht="18" hidden="false" customHeight="true" outlineLevel="0" collapsed="false">
      <c r="B30" s="33"/>
      <c r="C30" s="33"/>
      <c r="D30" s="29"/>
      <c r="E30" s="28"/>
      <c r="F30" s="30" t="str">
        <f aca="false">IF(AND(ISNUMBER(D30),ISNUMBER(E30),E30&gt;0),D30/E30,"")</f>
        <v/>
      </c>
      <c r="G30" s="34"/>
      <c r="H30" s="19"/>
      <c r="I30" s="19"/>
    </row>
    <row r="31" customFormat="false" ht="18" hidden="false" customHeight="true" outlineLevel="0" collapsed="false">
      <c r="B31" s="33"/>
      <c r="C31" s="33"/>
      <c r="D31" s="29"/>
      <c r="E31" s="28"/>
      <c r="F31" s="30" t="str">
        <f aca="false">IF(AND(ISNUMBER(D31),ISNUMBER(E31),E31&gt;0),D31/E31,"")</f>
        <v/>
      </c>
      <c r="G31" s="34"/>
      <c r="H31" s="19"/>
      <c r="I31" s="19"/>
    </row>
    <row r="32" customFormat="false" ht="21.75" hidden="false" customHeight="true" outlineLevel="0" collapsed="false">
      <c r="B32" s="31" t="s">
        <v>77</v>
      </c>
      <c r="C32" s="31"/>
      <c r="D32" s="31"/>
      <c r="E32" s="31"/>
      <c r="F32" s="32" t="n">
        <f aca="false">IFERROR(SUM(F22:F31),0)</f>
        <v>0</v>
      </c>
      <c r="G32" s="20"/>
      <c r="H32" s="20"/>
      <c r="I32" s="20"/>
    </row>
    <row r="34" customFormat="false" ht="24" hidden="false" customHeight="true" outlineLevel="0" collapsed="false">
      <c r="B34" s="35" t="s">
        <v>78</v>
      </c>
      <c r="C34" s="35"/>
      <c r="D34" s="35"/>
      <c r="E34" s="35"/>
      <c r="F34" s="36"/>
      <c r="G34" s="36"/>
      <c r="H34" s="37" t="n">
        <f aca="false">IF(C12="Average cost for all servers",G18,F32)</f>
        <v>0</v>
      </c>
      <c r="I34" s="36"/>
    </row>
    <row r="36" customFormat="false" ht="25.5" hidden="false" customHeight="true" outlineLevel="0" collapsed="false">
      <c r="B36" s="4" t="s">
        <v>79</v>
      </c>
      <c r="C36" s="4"/>
      <c r="D36" s="4"/>
      <c r="E36" s="4"/>
      <c r="F36" s="4"/>
      <c r="G36" s="4"/>
      <c r="H36" s="4"/>
      <c r="I36" s="4"/>
    </row>
    <row r="37" customFormat="false" ht="31.5" hidden="false" customHeight="true" outlineLevel="0" collapsed="false">
      <c r="B37" s="16" t="s">
        <v>80</v>
      </c>
      <c r="C37" s="16"/>
      <c r="D37" s="16"/>
      <c r="E37" s="16"/>
      <c r="F37" s="16"/>
      <c r="G37" s="16"/>
      <c r="H37" s="16"/>
      <c r="I37" s="16"/>
    </row>
    <row r="38" customFormat="false" ht="21.75" hidden="false" customHeight="true" outlineLevel="0" collapsed="false">
      <c r="B38" s="22" t="s">
        <v>56</v>
      </c>
      <c r="C38" s="23" t="s">
        <v>81</v>
      </c>
      <c r="D38" s="23"/>
      <c r="E38" s="23"/>
      <c r="F38" s="17" t="s">
        <v>58</v>
      </c>
      <c r="G38" s="24" t="s">
        <v>82</v>
      </c>
      <c r="H38" s="24"/>
      <c r="I38" s="24"/>
    </row>
    <row r="40" customFormat="false" ht="21.75" hidden="false" customHeight="true" outlineLevel="0" collapsed="false">
      <c r="B40" s="25" t="s">
        <v>83</v>
      </c>
      <c r="C40" s="25"/>
      <c r="D40" s="25"/>
      <c r="E40" s="25"/>
      <c r="F40" s="25"/>
      <c r="G40" s="25"/>
      <c r="H40" s="25"/>
      <c r="I40" s="25"/>
    </row>
    <row r="41" customFormat="false" ht="27.75" hidden="false" customHeight="true" outlineLevel="0" collapsed="false">
      <c r="B41" s="26" t="s">
        <v>84</v>
      </c>
      <c r="C41" s="26" t="s">
        <v>85</v>
      </c>
      <c r="D41" s="26" t="s">
        <v>86</v>
      </c>
      <c r="E41" s="26" t="s">
        <v>75</v>
      </c>
      <c r="F41" s="26" t="s">
        <v>87</v>
      </c>
      <c r="G41" s="26" t="s">
        <v>88</v>
      </c>
      <c r="H41" s="27" t="s">
        <v>67</v>
      </c>
      <c r="I41" s="27"/>
    </row>
    <row r="42" customFormat="false" ht="19.5" hidden="false" customHeight="true" outlineLevel="0" collapsed="false">
      <c r="B42" s="7" t="s">
        <v>89</v>
      </c>
      <c r="C42" s="28"/>
      <c r="D42" s="29"/>
      <c r="E42" s="28" t="n">
        <v>60</v>
      </c>
      <c r="F42" s="30" t="n">
        <f aca="false">IFERROR(D42/E42,0)</f>
        <v>0</v>
      </c>
      <c r="G42" s="30" t="n">
        <f aca="false">C42*F42</f>
        <v>0</v>
      </c>
      <c r="H42" s="19"/>
      <c r="I42" s="19"/>
    </row>
    <row r="43" customFormat="false" ht="19.5" hidden="false" customHeight="true" outlineLevel="0" collapsed="false">
      <c r="B43" s="7" t="s">
        <v>90</v>
      </c>
      <c r="C43" s="28"/>
      <c r="D43" s="29"/>
      <c r="E43" s="28" t="n">
        <v>60</v>
      </c>
      <c r="F43" s="30" t="n">
        <f aca="false">IFERROR(D43/E43,0)</f>
        <v>0</v>
      </c>
      <c r="G43" s="30" t="n">
        <f aca="false">C43*F43</f>
        <v>0</v>
      </c>
      <c r="H43" s="19"/>
      <c r="I43" s="19"/>
    </row>
    <row r="44" customFormat="false" ht="19.5" hidden="false" customHeight="true" outlineLevel="0" collapsed="false">
      <c r="B44" s="7" t="s">
        <v>91</v>
      </c>
      <c r="C44" s="28"/>
      <c r="D44" s="29"/>
      <c r="E44" s="28" t="n">
        <v>60</v>
      </c>
      <c r="F44" s="30" t="n">
        <f aca="false">IFERROR(D44/E44,0)</f>
        <v>0</v>
      </c>
      <c r="G44" s="30" t="n">
        <f aca="false">C44*F44</f>
        <v>0</v>
      </c>
      <c r="H44" s="19"/>
      <c r="I44" s="19"/>
    </row>
    <row r="45" customFormat="false" ht="21.75" hidden="false" customHeight="true" outlineLevel="0" collapsed="false">
      <c r="B45" s="31" t="s">
        <v>92</v>
      </c>
      <c r="C45" s="31"/>
      <c r="D45" s="31"/>
      <c r="E45" s="31"/>
      <c r="F45" s="31"/>
      <c r="G45" s="32" t="n">
        <f aca="false">SUM(G42:G44)</f>
        <v>0</v>
      </c>
      <c r="H45" s="38"/>
      <c r="I45" s="38"/>
    </row>
    <row r="47" customFormat="false" ht="21.75" hidden="false" customHeight="true" outlineLevel="0" collapsed="false">
      <c r="B47" s="25" t="s">
        <v>93</v>
      </c>
      <c r="C47" s="25"/>
      <c r="D47" s="25"/>
      <c r="E47" s="25"/>
      <c r="F47" s="25"/>
      <c r="G47" s="25"/>
      <c r="H47" s="25"/>
      <c r="I47" s="25"/>
    </row>
    <row r="48" customFormat="false" ht="27.75" hidden="false" customHeight="true" outlineLevel="0" collapsed="false">
      <c r="B48" s="26" t="s">
        <v>94</v>
      </c>
      <c r="C48" s="26" t="s">
        <v>95</v>
      </c>
      <c r="D48" s="26" t="s">
        <v>96</v>
      </c>
      <c r="E48" s="26" t="s">
        <v>75</v>
      </c>
      <c r="F48" s="26" t="s">
        <v>76</v>
      </c>
      <c r="G48" s="26"/>
      <c r="H48" s="27" t="s">
        <v>67</v>
      </c>
      <c r="I48" s="27"/>
    </row>
    <row r="49" customFormat="false" ht="18" hidden="false" customHeight="true" outlineLevel="0" collapsed="false">
      <c r="B49" s="19"/>
      <c r="C49" s="19"/>
      <c r="D49" s="29"/>
      <c r="E49" s="28"/>
      <c r="F49" s="30" t="str">
        <f aca="false">IF(AND(ISNUMBER(D49),ISNUMBER(E49),E49&gt;0),D49/E49,"")</f>
        <v/>
      </c>
      <c r="G49" s="34"/>
      <c r="H49" s="19"/>
      <c r="I49" s="19"/>
    </row>
    <row r="50" customFormat="false" ht="18" hidden="false" customHeight="true" outlineLevel="0" collapsed="false">
      <c r="B50" s="19"/>
      <c r="C50" s="19"/>
      <c r="D50" s="29"/>
      <c r="E50" s="28"/>
      <c r="F50" s="30" t="str">
        <f aca="false">IF(AND(ISNUMBER(D50),ISNUMBER(E50),E50&gt;0),D50/E50,"")</f>
        <v/>
      </c>
      <c r="G50" s="34"/>
      <c r="H50" s="19"/>
      <c r="I50" s="19"/>
    </row>
    <row r="51" customFormat="false" ht="18" hidden="false" customHeight="true" outlineLevel="0" collapsed="false">
      <c r="B51" s="19"/>
      <c r="C51" s="19"/>
      <c r="D51" s="29"/>
      <c r="E51" s="28"/>
      <c r="F51" s="30" t="str">
        <f aca="false">IF(AND(ISNUMBER(D51),ISNUMBER(E51),E51&gt;0),D51/E51,"")</f>
        <v/>
      </c>
      <c r="G51" s="34"/>
      <c r="H51" s="19"/>
      <c r="I51" s="19"/>
    </row>
    <row r="52" customFormat="false" ht="18" hidden="false" customHeight="true" outlineLevel="0" collapsed="false">
      <c r="B52" s="19"/>
      <c r="C52" s="19"/>
      <c r="D52" s="29"/>
      <c r="E52" s="28"/>
      <c r="F52" s="30" t="str">
        <f aca="false">IF(AND(ISNUMBER(D52),ISNUMBER(E52),E52&gt;0),D52/E52,"")</f>
        <v/>
      </c>
      <c r="G52" s="34"/>
      <c r="H52" s="19"/>
      <c r="I52" s="19"/>
    </row>
    <row r="53" customFormat="false" ht="18" hidden="false" customHeight="true" outlineLevel="0" collapsed="false">
      <c r="B53" s="19"/>
      <c r="C53" s="19"/>
      <c r="D53" s="29"/>
      <c r="E53" s="28"/>
      <c r="F53" s="30" t="str">
        <f aca="false">IF(AND(ISNUMBER(D53),ISNUMBER(E53),E53&gt;0),D53/E53,"")</f>
        <v/>
      </c>
      <c r="G53" s="34"/>
      <c r="H53" s="19"/>
      <c r="I53" s="19"/>
    </row>
    <row r="54" customFormat="false" ht="18" hidden="false" customHeight="true" outlineLevel="0" collapsed="false">
      <c r="B54" s="19"/>
      <c r="C54" s="19"/>
      <c r="D54" s="29"/>
      <c r="E54" s="28"/>
      <c r="F54" s="30" t="str">
        <f aca="false">IF(AND(ISNUMBER(D54),ISNUMBER(E54),E54&gt;0),D54/E54,"")</f>
        <v/>
      </c>
      <c r="G54" s="34"/>
      <c r="H54" s="19"/>
      <c r="I54" s="19"/>
    </row>
    <row r="55" customFormat="false" ht="21.75" hidden="false" customHeight="true" outlineLevel="0" collapsed="false">
      <c r="B55" s="31" t="s">
        <v>97</v>
      </c>
      <c r="C55" s="31"/>
      <c r="D55" s="31"/>
      <c r="E55" s="31"/>
      <c r="F55" s="32" t="n">
        <f aca="false">IFERROR(SUM(F49:F54),0)</f>
        <v>0</v>
      </c>
      <c r="G55" s="20"/>
      <c r="H55" s="20"/>
      <c r="I55" s="20"/>
    </row>
    <row r="57" customFormat="false" ht="24" hidden="false" customHeight="true" outlineLevel="0" collapsed="false">
      <c r="B57" s="35" t="s">
        <v>98</v>
      </c>
      <c r="C57" s="35"/>
      <c r="D57" s="35"/>
      <c r="E57" s="35"/>
      <c r="F57" s="36"/>
      <c r="G57" s="36"/>
      <c r="H57" s="37" t="n">
        <f aca="false">IF(C38="Average cost for all storage systems",G45,F55)</f>
        <v>0</v>
      </c>
      <c r="I57" s="36"/>
    </row>
    <row r="59" customFormat="false" ht="25.5" hidden="false" customHeight="true" outlineLevel="0" collapsed="false">
      <c r="B59" s="4" t="s">
        <v>99</v>
      </c>
      <c r="C59" s="4"/>
      <c r="D59" s="4"/>
      <c r="E59" s="4"/>
      <c r="F59" s="4"/>
      <c r="G59" s="4"/>
      <c r="H59" s="4"/>
      <c r="I59" s="4"/>
    </row>
    <row r="60" customFormat="false" ht="31.5" hidden="false" customHeight="true" outlineLevel="0" collapsed="false">
      <c r="B60" s="16" t="s">
        <v>100</v>
      </c>
      <c r="C60" s="16"/>
      <c r="D60" s="16"/>
      <c r="E60" s="16"/>
      <c r="F60" s="16"/>
      <c r="G60" s="16"/>
      <c r="H60" s="16"/>
      <c r="I60" s="16"/>
    </row>
    <row r="61" customFormat="false" ht="21.75" hidden="false" customHeight="true" outlineLevel="0" collapsed="false">
      <c r="B61" s="22" t="s">
        <v>56</v>
      </c>
      <c r="C61" s="23" t="s">
        <v>101</v>
      </c>
      <c r="D61" s="23"/>
      <c r="E61" s="23"/>
      <c r="F61" s="17" t="s">
        <v>58</v>
      </c>
      <c r="G61" s="24" t="s">
        <v>102</v>
      </c>
      <c r="H61" s="24"/>
      <c r="I61" s="24"/>
    </row>
    <row r="63" customFormat="false" ht="21.75" hidden="false" customHeight="true" outlineLevel="0" collapsed="false">
      <c r="B63" s="25" t="s">
        <v>103</v>
      </c>
      <c r="C63" s="25"/>
      <c r="D63" s="25"/>
      <c r="E63" s="25"/>
      <c r="F63" s="25"/>
      <c r="G63" s="25"/>
      <c r="H63" s="25"/>
      <c r="I63" s="25"/>
    </row>
    <row r="64" customFormat="false" ht="21.75" hidden="false" customHeight="true" outlineLevel="0" collapsed="false">
      <c r="B64" s="17" t="s">
        <v>104</v>
      </c>
      <c r="C64" s="17"/>
      <c r="D64" s="17"/>
      <c r="E64" s="17"/>
      <c r="F64" s="17"/>
      <c r="G64" s="29"/>
      <c r="H64" s="19"/>
      <c r="I64" s="19"/>
    </row>
    <row r="66" customFormat="false" ht="21.75" hidden="false" customHeight="true" outlineLevel="0" collapsed="false">
      <c r="B66" s="25" t="s">
        <v>105</v>
      </c>
      <c r="C66" s="25"/>
      <c r="D66" s="25"/>
      <c r="E66" s="25"/>
      <c r="F66" s="25"/>
      <c r="G66" s="25"/>
      <c r="H66" s="25"/>
      <c r="I66" s="25"/>
    </row>
    <row r="67" customFormat="false" ht="27.75" hidden="false" customHeight="true" outlineLevel="0" collapsed="false">
      <c r="B67" s="26" t="s">
        <v>106</v>
      </c>
      <c r="C67" s="26" t="s">
        <v>107</v>
      </c>
      <c r="D67" s="26"/>
      <c r="E67" s="26"/>
      <c r="F67" s="26" t="s">
        <v>76</v>
      </c>
      <c r="G67" s="26" t="s">
        <v>108</v>
      </c>
      <c r="H67" s="27" t="s">
        <v>67</v>
      </c>
      <c r="I67" s="27"/>
    </row>
    <row r="68" customFormat="false" ht="18" hidden="false" customHeight="true" outlineLevel="0" collapsed="false">
      <c r="B68" s="7" t="s">
        <v>109</v>
      </c>
      <c r="C68" s="33" t="s">
        <v>110</v>
      </c>
      <c r="D68" s="39"/>
      <c r="E68" s="29"/>
      <c r="F68" s="30" t="n">
        <f aca="false">IFERROR(D68*E68,0)</f>
        <v>0</v>
      </c>
      <c r="G68" s="33"/>
      <c r="H68" s="19"/>
      <c r="I68" s="19"/>
    </row>
    <row r="69" customFormat="false" ht="18" hidden="false" customHeight="true" outlineLevel="0" collapsed="false">
      <c r="B69" s="7" t="s">
        <v>111</v>
      </c>
      <c r="C69" s="33" t="s">
        <v>110</v>
      </c>
      <c r="D69" s="39"/>
      <c r="E69" s="29"/>
      <c r="F69" s="30" t="n">
        <f aca="false">IFERROR(D69*E69,0)</f>
        <v>0</v>
      </c>
      <c r="G69" s="33"/>
      <c r="H69" s="19"/>
      <c r="I69" s="19"/>
    </row>
    <row r="70" customFormat="false" ht="18" hidden="false" customHeight="true" outlineLevel="0" collapsed="false">
      <c r="B70" s="7" t="s">
        <v>112</v>
      </c>
      <c r="C70" s="33" t="s">
        <v>110</v>
      </c>
      <c r="D70" s="39"/>
      <c r="E70" s="29"/>
      <c r="F70" s="30" t="n">
        <f aca="false">IFERROR(D70*E70,0)</f>
        <v>0</v>
      </c>
      <c r="G70" s="33"/>
      <c r="H70" s="19"/>
      <c r="I70" s="19"/>
    </row>
    <row r="71" customFormat="false" ht="18" hidden="false" customHeight="true" outlineLevel="0" collapsed="false">
      <c r="B71" s="7" t="s">
        <v>113</v>
      </c>
      <c r="C71" s="33" t="s">
        <v>110</v>
      </c>
      <c r="D71" s="39"/>
      <c r="E71" s="29"/>
      <c r="F71" s="30" t="n">
        <f aca="false">IFERROR(D71*E71,0)</f>
        <v>0</v>
      </c>
      <c r="G71" s="33"/>
      <c r="H71" s="19"/>
      <c r="I71" s="19"/>
    </row>
    <row r="72" customFormat="false" ht="18" hidden="false" customHeight="true" outlineLevel="0" collapsed="false">
      <c r="B72" s="7" t="s">
        <v>114</v>
      </c>
      <c r="C72" s="33" t="s">
        <v>115</v>
      </c>
      <c r="D72" s="39"/>
      <c r="E72" s="29"/>
      <c r="F72" s="30" t="n">
        <f aca="false">IFERROR(D72*E72,0)</f>
        <v>0</v>
      </c>
      <c r="G72" s="33"/>
      <c r="H72" s="19"/>
      <c r="I72" s="19"/>
    </row>
    <row r="73" customFormat="false" ht="18" hidden="false" customHeight="true" outlineLevel="0" collapsed="false">
      <c r="B73" s="7" t="s">
        <v>116</v>
      </c>
      <c r="C73" s="33" t="s">
        <v>110</v>
      </c>
      <c r="D73" s="39"/>
      <c r="E73" s="29"/>
      <c r="F73" s="30" t="n">
        <f aca="false">IFERROR(D73*E73,0)</f>
        <v>0</v>
      </c>
      <c r="G73" s="33"/>
      <c r="H73" s="19"/>
      <c r="I73" s="19"/>
    </row>
    <row r="74" customFormat="false" ht="18" hidden="false" customHeight="true" outlineLevel="0" collapsed="false">
      <c r="B74" s="7" t="s">
        <v>117</v>
      </c>
      <c r="C74" s="33" t="s">
        <v>110</v>
      </c>
      <c r="D74" s="39"/>
      <c r="E74" s="29"/>
      <c r="F74" s="30" t="n">
        <f aca="false">IFERROR(D74*E74,0)</f>
        <v>0</v>
      </c>
      <c r="G74" s="33"/>
      <c r="H74" s="19"/>
      <c r="I74" s="19"/>
    </row>
    <row r="75" customFormat="false" ht="18" hidden="false" customHeight="true" outlineLevel="0" collapsed="false">
      <c r="B75" s="7" t="s">
        <v>118</v>
      </c>
      <c r="C75" s="33" t="s">
        <v>119</v>
      </c>
      <c r="D75" s="39"/>
      <c r="E75" s="29"/>
      <c r="F75" s="30" t="n">
        <f aca="false">IFERROR(D75*E75,0)</f>
        <v>0</v>
      </c>
      <c r="G75" s="33"/>
      <c r="H75" s="19"/>
      <c r="I75" s="19"/>
    </row>
    <row r="76" customFormat="false" ht="18" hidden="false" customHeight="true" outlineLevel="0" collapsed="false">
      <c r="B76" s="7" t="s">
        <v>120</v>
      </c>
      <c r="C76" s="33" t="s">
        <v>119</v>
      </c>
      <c r="D76" s="39"/>
      <c r="E76" s="29"/>
      <c r="F76" s="30" t="n">
        <f aca="false">IFERROR(D76*E76,0)</f>
        <v>0</v>
      </c>
      <c r="G76" s="33"/>
      <c r="H76" s="19"/>
      <c r="I76" s="19"/>
    </row>
    <row r="77" customFormat="false" ht="18" hidden="false" customHeight="true" outlineLevel="0" collapsed="false">
      <c r="B77" s="7" t="s">
        <v>121</v>
      </c>
      <c r="C77" s="33" t="s">
        <v>119</v>
      </c>
      <c r="D77" s="39"/>
      <c r="E77" s="29"/>
      <c r="F77" s="30" t="n">
        <f aca="false">IFERROR(D77*E77,0)</f>
        <v>0</v>
      </c>
      <c r="G77" s="33"/>
      <c r="H77" s="19"/>
      <c r="I77" s="19"/>
    </row>
    <row r="78" customFormat="false" ht="18" hidden="false" customHeight="true" outlineLevel="0" collapsed="false">
      <c r="B78" s="7" t="s">
        <v>122</v>
      </c>
      <c r="C78" s="33" t="s">
        <v>110</v>
      </c>
      <c r="D78" s="39"/>
      <c r="E78" s="29"/>
      <c r="F78" s="30" t="n">
        <f aca="false">IFERROR(D78*E78,0)</f>
        <v>0</v>
      </c>
      <c r="G78" s="33"/>
      <c r="H78" s="19"/>
      <c r="I78" s="19"/>
    </row>
    <row r="79" customFormat="false" ht="18" hidden="false" customHeight="true" outlineLevel="0" collapsed="false">
      <c r="B79" s="7" t="s">
        <v>123</v>
      </c>
      <c r="C79" s="33" t="s">
        <v>124</v>
      </c>
      <c r="D79" s="39"/>
      <c r="E79" s="29"/>
      <c r="F79" s="30" t="n">
        <f aca="false">IFERROR(D79*E79,0)</f>
        <v>0</v>
      </c>
      <c r="G79" s="33"/>
      <c r="H79" s="19"/>
      <c r="I79" s="19"/>
    </row>
    <row r="80" customFormat="false" ht="18" hidden="false" customHeight="true" outlineLevel="0" collapsed="false">
      <c r="B80" s="7" t="s">
        <v>125</v>
      </c>
      <c r="C80" s="33" t="s">
        <v>119</v>
      </c>
      <c r="D80" s="39"/>
      <c r="E80" s="29"/>
      <c r="F80" s="30" t="n">
        <f aca="false">IFERROR(D80*E80,0)</f>
        <v>0</v>
      </c>
      <c r="G80" s="33"/>
      <c r="H80" s="19"/>
      <c r="I80" s="19"/>
    </row>
    <row r="81" customFormat="false" ht="18" hidden="false" customHeight="true" outlineLevel="0" collapsed="false">
      <c r="B81" s="7" t="s">
        <v>126</v>
      </c>
      <c r="C81" s="33" t="s">
        <v>119</v>
      </c>
      <c r="D81" s="39"/>
      <c r="E81" s="29"/>
      <c r="F81" s="30" t="n">
        <f aca="false">IFERROR(D81*E81,0)</f>
        <v>0</v>
      </c>
      <c r="G81" s="33"/>
      <c r="H81" s="19"/>
      <c r="I81" s="19"/>
    </row>
    <row r="82" customFormat="false" ht="18" hidden="false" customHeight="true" outlineLevel="0" collapsed="false">
      <c r="B82" s="7" t="s">
        <v>127</v>
      </c>
      <c r="C82" s="33" t="s">
        <v>119</v>
      </c>
      <c r="D82" s="39"/>
      <c r="E82" s="29"/>
      <c r="F82" s="30" t="n">
        <f aca="false">IFERROR(D82*E82,0)</f>
        <v>0</v>
      </c>
      <c r="G82" s="33"/>
      <c r="H82" s="19"/>
      <c r="I82" s="19"/>
    </row>
    <row r="83" customFormat="false" ht="18" hidden="false" customHeight="true" outlineLevel="0" collapsed="false">
      <c r="B83" s="7" t="s">
        <v>128</v>
      </c>
      <c r="C83" s="33"/>
      <c r="D83" s="39"/>
      <c r="E83" s="29"/>
      <c r="F83" s="30" t="n">
        <f aca="false">IFERROR(D83*E83,0)</f>
        <v>0</v>
      </c>
      <c r="G83" s="33"/>
      <c r="H83" s="19"/>
      <c r="I83" s="19"/>
    </row>
    <row r="84" customFormat="false" ht="18" hidden="false" customHeight="true" outlineLevel="0" collapsed="false">
      <c r="B84" s="7" t="s">
        <v>128</v>
      </c>
      <c r="C84" s="33"/>
      <c r="D84" s="39"/>
      <c r="E84" s="29"/>
      <c r="F84" s="30" t="n">
        <f aca="false">IFERROR(D84*E84,0)</f>
        <v>0</v>
      </c>
      <c r="G84" s="33"/>
      <c r="H84" s="19"/>
      <c r="I84" s="19"/>
    </row>
    <row r="85" customFormat="false" ht="18" hidden="false" customHeight="true" outlineLevel="0" collapsed="false">
      <c r="B85" s="7" t="s">
        <v>128</v>
      </c>
      <c r="C85" s="33"/>
      <c r="D85" s="39" t="n">
        <v>0</v>
      </c>
      <c r="E85" s="29" t="n">
        <v>0</v>
      </c>
      <c r="F85" s="30" t="n">
        <f aca="false">IFERROR(D85*E85,0)</f>
        <v>0</v>
      </c>
      <c r="G85" s="33"/>
      <c r="H85" s="19"/>
      <c r="I85" s="19"/>
    </row>
    <row r="86" customFormat="false" ht="21.75" hidden="false" customHeight="true" outlineLevel="0" collapsed="false">
      <c r="B86" s="31" t="s">
        <v>97</v>
      </c>
      <c r="C86" s="31"/>
      <c r="D86" s="31"/>
      <c r="E86" s="31"/>
      <c r="F86" s="32" t="n">
        <f aca="false">SUM(F68:F85)</f>
        <v>0</v>
      </c>
      <c r="G86" s="20"/>
      <c r="H86" s="20"/>
      <c r="I86" s="20"/>
    </row>
    <row r="88" customFormat="false" ht="24" hidden="false" customHeight="true" outlineLevel="0" collapsed="false">
      <c r="B88" s="35" t="s">
        <v>129</v>
      </c>
      <c r="C88" s="35"/>
      <c r="D88" s="35"/>
      <c r="E88" s="35"/>
      <c r="F88" s="36"/>
      <c r="G88" s="36"/>
      <c r="H88" s="37" t="n">
        <f aca="false">IF(C61="Aggregate monthly license spend",G64,F86)</f>
        <v>0</v>
      </c>
      <c r="I88" s="36"/>
    </row>
    <row r="90" customFormat="false" ht="25.5" hidden="false" customHeight="true" outlineLevel="0" collapsed="false">
      <c r="B90" s="4" t="s">
        <v>130</v>
      </c>
      <c r="C90" s="4"/>
      <c r="D90" s="4"/>
      <c r="E90" s="4"/>
      <c r="F90" s="4"/>
      <c r="G90" s="4"/>
      <c r="H90" s="4"/>
      <c r="I90" s="4"/>
    </row>
    <row r="91" customFormat="false" ht="31.5" hidden="false" customHeight="true" outlineLevel="0" collapsed="false">
      <c r="B91" s="16" t="s">
        <v>131</v>
      </c>
      <c r="C91" s="16"/>
      <c r="D91" s="16"/>
      <c r="E91" s="16"/>
      <c r="F91" s="16"/>
      <c r="G91" s="16"/>
      <c r="H91" s="16"/>
      <c r="I91" s="16"/>
    </row>
    <row r="92" customFormat="false" ht="21.75" hidden="false" customHeight="true" outlineLevel="0" collapsed="false">
      <c r="B92" s="22" t="s">
        <v>56</v>
      </c>
      <c r="C92" s="23" t="s">
        <v>132</v>
      </c>
      <c r="D92" s="23"/>
      <c r="E92" s="23"/>
      <c r="F92" s="17" t="s">
        <v>58</v>
      </c>
      <c r="G92" s="24" t="s">
        <v>133</v>
      </c>
      <c r="H92" s="24"/>
      <c r="I92" s="24"/>
    </row>
    <row r="94" customFormat="false" ht="21.75" hidden="false" customHeight="true" outlineLevel="0" collapsed="false">
      <c r="B94" s="25" t="s">
        <v>134</v>
      </c>
      <c r="C94" s="25"/>
      <c r="D94" s="25"/>
      <c r="E94" s="25"/>
      <c r="F94" s="25"/>
      <c r="G94" s="25"/>
      <c r="H94" s="25"/>
      <c r="I94" s="25"/>
    </row>
    <row r="95" customFormat="false" ht="21.75" hidden="false" customHeight="true" outlineLevel="0" collapsed="false">
      <c r="B95" s="17" t="s">
        <v>135</v>
      </c>
      <c r="C95" s="17"/>
      <c r="D95" s="17"/>
      <c r="E95" s="17"/>
      <c r="F95" s="17"/>
      <c r="G95" s="29"/>
      <c r="H95" s="19"/>
      <c r="I95" s="19"/>
    </row>
    <row r="97" customFormat="false" ht="21.75" hidden="false" customHeight="true" outlineLevel="0" collapsed="false">
      <c r="B97" s="25"/>
      <c r="C97" s="25"/>
      <c r="D97" s="25"/>
      <c r="E97" s="25"/>
      <c r="F97" s="25"/>
      <c r="G97" s="25"/>
      <c r="H97" s="25"/>
      <c r="I97" s="25"/>
    </row>
    <row r="98" customFormat="false" ht="27.75" hidden="false" customHeight="true" outlineLevel="0" collapsed="false">
      <c r="B98" s="26"/>
      <c r="C98" s="26"/>
      <c r="D98" s="26"/>
      <c r="E98" s="26"/>
      <c r="F98" s="26"/>
      <c r="G98" s="26" t="s">
        <v>136</v>
      </c>
      <c r="H98" s="27" t="s">
        <v>67</v>
      </c>
      <c r="I98" s="27"/>
    </row>
    <row r="99" customFormat="false" ht="18" hidden="false" customHeight="true" outlineLevel="0" collapsed="false">
      <c r="B99" s="33"/>
      <c r="C99" s="33"/>
      <c r="D99" s="33"/>
      <c r="E99" s="29"/>
      <c r="F99" s="34"/>
      <c r="G99" s="19"/>
      <c r="H99" s="19"/>
      <c r="I99" s="19"/>
    </row>
    <row r="100" customFormat="false" ht="18" hidden="false" customHeight="true" outlineLevel="0" collapsed="false">
      <c r="B100" s="33"/>
      <c r="C100" s="33"/>
      <c r="D100" s="33"/>
      <c r="E100" s="29"/>
      <c r="F100" s="34"/>
      <c r="G100" s="19"/>
      <c r="H100" s="19"/>
      <c r="I100" s="19"/>
    </row>
    <row r="101" customFormat="false" ht="18" hidden="false" customHeight="true" outlineLevel="0" collapsed="false">
      <c r="B101" s="33"/>
      <c r="C101" s="33"/>
      <c r="D101" s="33"/>
      <c r="E101" s="29"/>
      <c r="F101" s="34"/>
      <c r="G101" s="19"/>
      <c r="H101" s="19"/>
      <c r="I101" s="19"/>
    </row>
    <row r="102" customFormat="false" ht="18" hidden="false" customHeight="true" outlineLevel="0" collapsed="false">
      <c r="B102" s="33"/>
      <c r="C102" s="33"/>
      <c r="D102" s="33"/>
      <c r="E102" s="29"/>
      <c r="F102" s="34"/>
      <c r="G102" s="19"/>
      <c r="H102" s="19"/>
      <c r="I102" s="19"/>
    </row>
    <row r="103" customFormat="false" ht="18" hidden="false" customHeight="true" outlineLevel="0" collapsed="false">
      <c r="B103" s="33"/>
      <c r="C103" s="33"/>
      <c r="D103" s="33"/>
      <c r="E103" s="29"/>
      <c r="F103" s="34"/>
      <c r="G103" s="19"/>
      <c r="H103" s="19"/>
      <c r="I103" s="19"/>
    </row>
    <row r="104" customFormat="false" ht="18" hidden="false" customHeight="true" outlineLevel="0" collapsed="false">
      <c r="B104" s="33"/>
      <c r="C104" s="33"/>
      <c r="D104" s="33"/>
      <c r="E104" s="29"/>
      <c r="F104" s="34"/>
      <c r="G104" s="19"/>
      <c r="H104" s="19"/>
      <c r="I104" s="19"/>
    </row>
    <row r="105" customFormat="false" ht="18" hidden="false" customHeight="true" outlineLevel="0" collapsed="false">
      <c r="B105" s="33"/>
      <c r="C105" s="33"/>
      <c r="D105" s="33"/>
      <c r="E105" s="29"/>
      <c r="F105" s="34"/>
      <c r="G105" s="19"/>
      <c r="H105" s="19"/>
      <c r="I105" s="19"/>
    </row>
    <row r="106" customFormat="false" ht="18" hidden="false" customHeight="true" outlineLevel="0" collapsed="false">
      <c r="B106" s="33"/>
      <c r="C106" s="33"/>
      <c r="D106" s="33"/>
      <c r="E106" s="29"/>
      <c r="F106" s="34"/>
      <c r="G106" s="19"/>
      <c r="H106" s="19"/>
      <c r="I106" s="19"/>
    </row>
    <row r="107" customFormat="false" ht="18" hidden="false" customHeight="true" outlineLevel="0" collapsed="false">
      <c r="B107" s="33"/>
      <c r="C107" s="33"/>
      <c r="D107" s="33"/>
      <c r="E107" s="29"/>
      <c r="F107" s="34"/>
      <c r="G107" s="19"/>
      <c r="H107" s="19"/>
      <c r="I107" s="19"/>
    </row>
    <row r="108" customFormat="false" ht="18" hidden="false" customHeight="true" outlineLevel="0" collapsed="false">
      <c r="B108" s="33"/>
      <c r="C108" s="33"/>
      <c r="D108" s="33"/>
      <c r="E108" s="29"/>
      <c r="F108" s="34"/>
      <c r="G108" s="19"/>
      <c r="H108" s="19"/>
      <c r="I108" s="19"/>
    </row>
    <row r="109" customFormat="false" ht="18" hidden="false" customHeight="true" outlineLevel="0" collapsed="false">
      <c r="B109" s="33"/>
      <c r="C109" s="33"/>
      <c r="D109" s="33"/>
      <c r="E109" s="29"/>
      <c r="F109" s="34"/>
      <c r="G109" s="19"/>
      <c r="H109" s="19"/>
      <c r="I109" s="19"/>
    </row>
    <row r="110" customFormat="false" ht="18" hidden="false" customHeight="true" outlineLevel="0" collapsed="false">
      <c r="B110" s="33"/>
      <c r="C110" s="33"/>
      <c r="D110" s="33"/>
      <c r="E110" s="29"/>
      <c r="F110" s="34"/>
      <c r="G110" s="19"/>
      <c r="H110" s="19"/>
      <c r="I110" s="19"/>
    </row>
    <row r="111" customFormat="false" ht="21.75" hidden="false" customHeight="true" outlineLevel="0" collapsed="false">
      <c r="B111" s="31" t="s">
        <v>97</v>
      </c>
      <c r="C111" s="31"/>
      <c r="D111" s="31"/>
      <c r="E111" s="32" t="n">
        <f aca="false">SUM(E99:E110)</f>
        <v>0</v>
      </c>
      <c r="F111" s="20"/>
      <c r="G111" s="20"/>
      <c r="H111" s="20"/>
      <c r="I111" s="20"/>
    </row>
    <row r="113" customFormat="false" ht="24" hidden="false" customHeight="true" outlineLevel="0" collapsed="false">
      <c r="B113" s="35" t="s">
        <v>137</v>
      </c>
      <c r="C113" s="35"/>
      <c r="D113" s="35"/>
      <c r="E113" s="35"/>
      <c r="F113" s="36"/>
      <c r="G113" s="36"/>
      <c r="H113" s="37" t="n">
        <f aca="false">IF(C92="Aggregate monthly application spend",G95,E111)</f>
        <v>0</v>
      </c>
      <c r="I113" s="36"/>
    </row>
    <row r="115" customFormat="false" ht="25.5" hidden="false" customHeight="true" outlineLevel="0" collapsed="false">
      <c r="B115" s="4" t="s">
        <v>138</v>
      </c>
      <c r="C115" s="4"/>
      <c r="D115" s="4"/>
      <c r="E115" s="4"/>
      <c r="F115" s="4"/>
      <c r="G115" s="4"/>
      <c r="H115" s="4"/>
      <c r="I115" s="4"/>
    </row>
    <row r="116" customFormat="false" ht="31.5" hidden="false" customHeight="true" outlineLevel="0" collapsed="false">
      <c r="B116" s="16" t="s">
        <v>139</v>
      </c>
      <c r="C116" s="16"/>
      <c r="D116" s="16"/>
      <c r="E116" s="16"/>
      <c r="F116" s="16"/>
      <c r="G116" s="16"/>
      <c r="H116" s="16"/>
      <c r="I116" s="16"/>
    </row>
    <row r="117" customFormat="false" ht="21.75" hidden="false" customHeight="true" outlineLevel="0" collapsed="false">
      <c r="B117" s="22" t="s">
        <v>56</v>
      </c>
      <c r="C117" s="23" t="s">
        <v>140</v>
      </c>
      <c r="D117" s="23"/>
      <c r="E117" s="23"/>
      <c r="F117" s="17" t="s">
        <v>58</v>
      </c>
      <c r="G117" s="24" t="s">
        <v>141</v>
      </c>
      <c r="H117" s="24"/>
      <c r="I117" s="24"/>
    </row>
    <row r="119" customFormat="false" ht="21.75" hidden="false" customHeight="true" outlineLevel="0" collapsed="false">
      <c r="B119" s="25" t="s">
        <v>142</v>
      </c>
      <c r="C119" s="25"/>
      <c r="D119" s="25"/>
      <c r="E119" s="25"/>
      <c r="F119" s="25"/>
      <c r="G119" s="25"/>
      <c r="H119" s="25"/>
      <c r="I119" s="25"/>
    </row>
    <row r="120" customFormat="false" ht="27.75" hidden="false" customHeight="true" outlineLevel="0" collapsed="false">
      <c r="B120" s="26" t="s">
        <v>143</v>
      </c>
      <c r="C120" s="26" t="s">
        <v>144</v>
      </c>
      <c r="D120" s="26" t="s">
        <v>145</v>
      </c>
      <c r="E120" s="26" t="s">
        <v>146</v>
      </c>
      <c r="F120" s="26" t="s">
        <v>76</v>
      </c>
      <c r="G120" s="26" t="s">
        <v>147</v>
      </c>
      <c r="H120" s="27" t="s">
        <v>67</v>
      </c>
      <c r="I120" s="27"/>
    </row>
    <row r="121" customFormat="false" ht="19.5" hidden="false" customHeight="true" outlineLevel="0" collapsed="false">
      <c r="B121" s="7" t="s">
        <v>148</v>
      </c>
      <c r="C121" s="40" t="n">
        <v>0.1</v>
      </c>
      <c r="D121" s="30" t="n">
        <f aca="false">H34*12</f>
        <v>0</v>
      </c>
      <c r="E121" s="30" t="n">
        <f aca="false">C121*D121</f>
        <v>0</v>
      </c>
      <c r="F121" s="30" t="n">
        <f aca="false">E121/12</f>
        <v>0</v>
      </c>
      <c r="G121" s="12" t="s">
        <v>149</v>
      </c>
      <c r="H121" s="33" t="s">
        <v>150</v>
      </c>
      <c r="I121" s="33"/>
    </row>
    <row r="122" customFormat="false" ht="19.5" hidden="false" customHeight="true" outlineLevel="0" collapsed="false">
      <c r="B122" s="7" t="s">
        <v>151</v>
      </c>
      <c r="C122" s="40" t="n">
        <v>0.2</v>
      </c>
      <c r="D122" s="30" t="n">
        <f aca="false">H88*12</f>
        <v>0</v>
      </c>
      <c r="E122" s="30" t="n">
        <f aca="false">C122*D122</f>
        <v>0</v>
      </c>
      <c r="F122" s="30" t="n">
        <f aca="false">E122/12</f>
        <v>0</v>
      </c>
      <c r="G122" s="12" t="s">
        <v>152</v>
      </c>
      <c r="H122" s="33" t="s">
        <v>153</v>
      </c>
      <c r="I122" s="33"/>
    </row>
    <row r="123" customFormat="false" ht="21.75" hidden="false" customHeight="true" outlineLevel="0" collapsed="false">
      <c r="B123" s="31" t="s">
        <v>70</v>
      </c>
      <c r="C123" s="31"/>
      <c r="D123" s="31"/>
      <c r="E123" s="31"/>
      <c r="F123" s="32" t="n">
        <f aca="false">SUM(F121:F122)</f>
        <v>0</v>
      </c>
      <c r="G123" s="20"/>
      <c r="H123" s="20"/>
      <c r="I123" s="20"/>
    </row>
    <row r="125" customFormat="false" ht="21.75" hidden="false" customHeight="true" outlineLevel="0" collapsed="false">
      <c r="B125" s="25" t="s">
        <v>154</v>
      </c>
      <c r="C125" s="25"/>
      <c r="D125" s="25"/>
      <c r="E125" s="25"/>
      <c r="F125" s="25"/>
      <c r="G125" s="25"/>
      <c r="H125" s="25"/>
      <c r="I125" s="25"/>
    </row>
    <row r="126" customFormat="false" ht="21.75" hidden="false" customHeight="true" outlineLevel="0" collapsed="false">
      <c r="B126" s="17" t="s">
        <v>155</v>
      </c>
      <c r="C126" s="17"/>
      <c r="D126" s="17"/>
      <c r="E126" s="17"/>
      <c r="F126" s="29"/>
      <c r="G126" s="19"/>
      <c r="H126" s="19"/>
      <c r="I126" s="19"/>
    </row>
    <row r="128" customFormat="false" ht="24" hidden="false" customHeight="true" outlineLevel="0" collapsed="false">
      <c r="B128" s="35" t="s">
        <v>156</v>
      </c>
      <c r="C128" s="35"/>
      <c r="D128" s="35"/>
      <c r="E128" s="35"/>
      <c r="F128" s="36"/>
      <c r="G128" s="36"/>
      <c r="H128" s="37" t="n">
        <f aca="false">IF(C117="Percentage-based (recommended)",F123,F126)</f>
        <v>0</v>
      </c>
      <c r="I128" s="36"/>
    </row>
    <row r="130" customFormat="false" ht="25.5" hidden="false" customHeight="true" outlineLevel="0" collapsed="false">
      <c r="B130" s="4" t="s">
        <v>157</v>
      </c>
      <c r="C130" s="4"/>
      <c r="D130" s="4"/>
      <c r="E130" s="4"/>
      <c r="F130" s="4"/>
      <c r="G130" s="4"/>
      <c r="H130" s="4"/>
      <c r="I130" s="4"/>
    </row>
    <row r="131" customFormat="false" ht="31.5" hidden="false" customHeight="true" outlineLevel="0" collapsed="false">
      <c r="B131" s="16" t="s">
        <v>158</v>
      </c>
      <c r="C131" s="16"/>
      <c r="D131" s="16"/>
      <c r="E131" s="16"/>
      <c r="F131" s="16"/>
      <c r="G131" s="16"/>
      <c r="H131" s="16"/>
      <c r="I131" s="16"/>
    </row>
    <row r="132" customFormat="false" ht="21.75" hidden="false" customHeight="true" outlineLevel="0" collapsed="false">
      <c r="B132" s="22" t="s">
        <v>56</v>
      </c>
      <c r="C132" s="23" t="s">
        <v>159</v>
      </c>
      <c r="D132" s="23"/>
      <c r="E132" s="23"/>
      <c r="F132" s="17" t="s">
        <v>58</v>
      </c>
      <c r="G132" s="24" t="s">
        <v>160</v>
      </c>
      <c r="H132" s="24"/>
      <c r="I132" s="24"/>
    </row>
    <row r="134" customFormat="false" ht="21.75" hidden="false" customHeight="true" outlineLevel="0" collapsed="false">
      <c r="B134" s="25" t="s">
        <v>161</v>
      </c>
      <c r="C134" s="25"/>
      <c r="D134" s="25"/>
      <c r="E134" s="25"/>
      <c r="F134" s="25"/>
      <c r="G134" s="25"/>
      <c r="H134" s="25"/>
      <c r="I134" s="25"/>
    </row>
    <row r="135" customFormat="false" ht="27.75" hidden="false" customHeight="true" outlineLevel="0" collapsed="false">
      <c r="B135" s="26" t="s">
        <v>162</v>
      </c>
      <c r="C135" s="26"/>
      <c r="D135" s="26"/>
      <c r="E135" s="26"/>
      <c r="F135" s="26" t="s">
        <v>76</v>
      </c>
      <c r="G135" s="26" t="s">
        <v>163</v>
      </c>
      <c r="H135" s="27" t="s">
        <v>67</v>
      </c>
      <c r="I135" s="27"/>
    </row>
    <row r="136" customFormat="false" ht="19.5" hidden="false" customHeight="true" outlineLevel="0" collapsed="false">
      <c r="B136" s="7" t="s">
        <v>164</v>
      </c>
      <c r="C136" s="39"/>
      <c r="D136" s="29"/>
      <c r="E136" s="39"/>
      <c r="F136" s="30" t="n">
        <f aca="false">C136*D136*E136</f>
        <v>0</v>
      </c>
      <c r="G136" s="12" t="s">
        <v>165</v>
      </c>
      <c r="H136" s="19"/>
      <c r="I136" s="19"/>
    </row>
    <row r="137" customFormat="false" ht="19.5" hidden="false" customHeight="true" outlineLevel="0" collapsed="false">
      <c r="B137" s="7" t="s">
        <v>166</v>
      </c>
      <c r="C137" s="39"/>
      <c r="D137" s="29"/>
      <c r="E137" s="39"/>
      <c r="F137" s="30" t="n">
        <f aca="false">C137*D137*E137</f>
        <v>0</v>
      </c>
      <c r="G137" s="12" t="s">
        <v>167</v>
      </c>
      <c r="H137" s="19"/>
      <c r="I137" s="19"/>
    </row>
    <row r="138" customFormat="false" ht="19.5" hidden="false" customHeight="true" outlineLevel="0" collapsed="false">
      <c r="B138" s="7" t="s">
        <v>168</v>
      </c>
      <c r="C138" s="39"/>
      <c r="D138" s="29"/>
      <c r="E138" s="39"/>
      <c r="F138" s="30" t="n">
        <f aca="false">C138*D138*E138</f>
        <v>0</v>
      </c>
      <c r="G138" s="12" t="s">
        <v>169</v>
      </c>
      <c r="H138" s="19"/>
      <c r="I138" s="19"/>
    </row>
    <row r="139" customFormat="false" ht="21.75" hidden="false" customHeight="true" outlineLevel="0" collapsed="false">
      <c r="B139" s="31" t="s">
        <v>70</v>
      </c>
      <c r="C139" s="31"/>
      <c r="D139" s="31"/>
      <c r="E139" s="31"/>
      <c r="F139" s="32" t="n">
        <f aca="false">SUM(F136:F138)</f>
        <v>0</v>
      </c>
      <c r="G139" s="20"/>
      <c r="H139" s="20"/>
      <c r="I139" s="20"/>
    </row>
    <row r="141" customFormat="false" ht="21.75" hidden="false" customHeight="true" outlineLevel="0" collapsed="false">
      <c r="B141" s="25" t="s">
        <v>170</v>
      </c>
      <c r="C141" s="25"/>
      <c r="D141" s="25"/>
      <c r="E141" s="25"/>
      <c r="F141" s="25"/>
      <c r="G141" s="25"/>
      <c r="H141" s="25"/>
      <c r="I141" s="25"/>
    </row>
    <row r="142" customFormat="false" ht="21.75" hidden="false" customHeight="true" outlineLevel="0" collapsed="false">
      <c r="B142" s="17" t="s">
        <v>171</v>
      </c>
      <c r="C142" s="17"/>
      <c r="D142" s="17"/>
      <c r="E142" s="17"/>
      <c r="F142" s="29"/>
      <c r="G142" s="19"/>
      <c r="H142" s="19"/>
      <c r="I142" s="19"/>
    </row>
    <row r="144" customFormat="false" ht="24" hidden="false" customHeight="true" outlineLevel="0" collapsed="false">
      <c r="B144" s="35" t="s">
        <v>172</v>
      </c>
      <c r="C144" s="35"/>
      <c r="D144" s="35"/>
      <c r="E144" s="35"/>
      <c r="F144" s="36"/>
      <c r="G144" s="36"/>
      <c r="H144" s="37" t="n">
        <f aca="false">IF(C132="Detailed (hourly rate × hours per category)",F139,F142)</f>
        <v>0</v>
      </c>
      <c r="I144" s="36"/>
    </row>
    <row r="146" customFormat="false" ht="25.5" hidden="false" customHeight="true" outlineLevel="0" collapsed="false">
      <c r="B146" s="4" t="s">
        <v>173</v>
      </c>
      <c r="C146" s="4"/>
      <c r="D146" s="4"/>
      <c r="E146" s="4"/>
      <c r="F146" s="4"/>
      <c r="G146" s="4"/>
      <c r="H146" s="4"/>
      <c r="I146" s="4"/>
    </row>
    <row r="147" customFormat="false" ht="31.5" hidden="false" customHeight="true" outlineLevel="0" collapsed="false">
      <c r="B147" s="16" t="s">
        <v>174</v>
      </c>
      <c r="C147" s="16"/>
      <c r="D147" s="16"/>
      <c r="E147" s="16"/>
      <c r="F147" s="16"/>
      <c r="G147" s="16"/>
      <c r="H147" s="16"/>
      <c r="I147" s="16"/>
    </row>
    <row r="148" customFormat="false" ht="21.75" hidden="false" customHeight="true" outlineLevel="0" collapsed="false">
      <c r="B148" s="22" t="s">
        <v>56</v>
      </c>
      <c r="C148" s="23" t="s">
        <v>175</v>
      </c>
      <c r="D148" s="23"/>
      <c r="E148" s="23"/>
      <c r="F148" s="17" t="s">
        <v>58</v>
      </c>
      <c r="G148" s="24" t="s">
        <v>176</v>
      </c>
      <c r="H148" s="24"/>
      <c r="I148" s="24"/>
    </row>
    <row r="150" customFormat="false" ht="21.75" hidden="false" customHeight="true" outlineLevel="0" collapsed="false">
      <c r="B150" s="25" t="s">
        <v>177</v>
      </c>
      <c r="C150" s="25"/>
      <c r="D150" s="25"/>
      <c r="E150" s="25"/>
      <c r="F150" s="25"/>
      <c r="G150" s="25"/>
      <c r="H150" s="25"/>
      <c r="I150" s="25"/>
    </row>
    <row r="151" customFormat="false" ht="27.75" hidden="false" customHeight="true" outlineLevel="0" collapsed="false">
      <c r="B151" s="26" t="s">
        <v>178</v>
      </c>
      <c r="C151" s="26"/>
      <c r="D151" s="26" t="s">
        <v>179</v>
      </c>
      <c r="E151" s="26" t="s">
        <v>76</v>
      </c>
      <c r="F151" s="26"/>
      <c r="G151" s="26" t="s">
        <v>180</v>
      </c>
      <c r="H151" s="27" t="s">
        <v>67</v>
      </c>
      <c r="I151" s="27"/>
    </row>
    <row r="152" customFormat="false" ht="19.5" hidden="false" customHeight="true" outlineLevel="0" collapsed="false">
      <c r="B152" s="7" t="s">
        <v>181</v>
      </c>
      <c r="C152" s="28"/>
      <c r="D152" s="29" t="n">
        <v>45</v>
      </c>
      <c r="E152" s="30" t="n">
        <f aca="false">C152*D152</f>
        <v>0</v>
      </c>
      <c r="F152" s="34"/>
      <c r="G152" s="12" t="s">
        <v>182</v>
      </c>
      <c r="H152" s="19"/>
      <c r="I152" s="19"/>
    </row>
    <row r="153" customFormat="false" ht="19.5" hidden="false" customHeight="true" outlineLevel="0" collapsed="false">
      <c r="B153" s="7" t="s">
        <v>183</v>
      </c>
      <c r="C153" s="28"/>
      <c r="D153" s="29" t="n">
        <v>90</v>
      </c>
      <c r="E153" s="30" t="n">
        <f aca="false">C153*D153</f>
        <v>0</v>
      </c>
      <c r="F153" s="34"/>
      <c r="G153" s="12" t="s">
        <v>184</v>
      </c>
      <c r="H153" s="19"/>
      <c r="I153" s="19"/>
    </row>
    <row r="154" customFormat="false" ht="19.5" hidden="false" customHeight="true" outlineLevel="0" collapsed="false">
      <c r="B154" s="7" t="s">
        <v>185</v>
      </c>
      <c r="C154" s="28"/>
      <c r="D154" s="29" t="n">
        <v>135</v>
      </c>
      <c r="E154" s="30" t="n">
        <f aca="false">C154*D154</f>
        <v>0</v>
      </c>
      <c r="F154" s="34"/>
      <c r="G154" s="12" t="s">
        <v>186</v>
      </c>
      <c r="H154" s="19"/>
      <c r="I154" s="19"/>
    </row>
    <row r="155" customFormat="false" ht="19.5" hidden="false" customHeight="true" outlineLevel="0" collapsed="false">
      <c r="B155" s="7" t="s">
        <v>187</v>
      </c>
      <c r="C155" s="28" t="n">
        <v>0</v>
      </c>
      <c r="D155" s="29" t="n">
        <v>180</v>
      </c>
      <c r="E155" s="30" t="n">
        <f aca="false">C155*D155</f>
        <v>0</v>
      </c>
      <c r="F155" s="34"/>
      <c r="G155" s="12" t="s">
        <v>188</v>
      </c>
      <c r="H155" s="19"/>
      <c r="I155" s="19"/>
    </row>
    <row r="156" customFormat="false" ht="19.5" hidden="false" customHeight="true" outlineLevel="0" collapsed="false">
      <c r="B156" s="7" t="s">
        <v>189</v>
      </c>
      <c r="C156" s="28" t="n">
        <v>0</v>
      </c>
      <c r="D156" s="29" t="n">
        <v>225</v>
      </c>
      <c r="E156" s="30" t="n">
        <f aca="false">C156*D156</f>
        <v>0</v>
      </c>
      <c r="F156" s="34"/>
      <c r="G156" s="12" t="s">
        <v>190</v>
      </c>
      <c r="H156" s="19"/>
      <c r="I156" s="19"/>
    </row>
    <row r="157" customFormat="false" ht="21.75" hidden="false" customHeight="true" outlineLevel="0" collapsed="false">
      <c r="B157" s="31" t="s">
        <v>70</v>
      </c>
      <c r="C157" s="31"/>
      <c r="D157" s="31"/>
      <c r="E157" s="32" t="n">
        <f aca="false">SUM(E152:E156)</f>
        <v>0</v>
      </c>
      <c r="F157" s="20"/>
      <c r="G157" s="20"/>
      <c r="H157" s="20"/>
      <c r="I157" s="20"/>
    </row>
    <row r="159" customFormat="false" ht="21.75" hidden="false" customHeight="true" outlineLevel="0" collapsed="false">
      <c r="B159" s="25" t="s">
        <v>191</v>
      </c>
      <c r="C159" s="25"/>
      <c r="D159" s="25"/>
      <c r="E159" s="25"/>
      <c r="F159" s="25"/>
      <c r="G159" s="25"/>
      <c r="H159" s="25"/>
      <c r="I159" s="25"/>
    </row>
    <row r="160" customFormat="false" ht="21.75" hidden="false" customHeight="true" outlineLevel="0" collapsed="false">
      <c r="B160" s="17" t="s">
        <v>192</v>
      </c>
      <c r="C160" s="17"/>
      <c r="D160" s="17"/>
      <c r="E160" s="29"/>
      <c r="F160" s="19"/>
      <c r="G160" s="19"/>
      <c r="H160" s="19"/>
      <c r="I160" s="19"/>
    </row>
    <row r="162" customFormat="false" ht="24" hidden="false" customHeight="true" outlineLevel="0" collapsed="false">
      <c r="B162" s="35" t="s">
        <v>193</v>
      </c>
      <c r="C162" s="35"/>
      <c r="D162" s="35"/>
      <c r="E162" s="35"/>
      <c r="F162" s="36"/>
      <c r="G162" s="36"/>
      <c r="H162" s="37" t="n">
        <f aca="false">IF(C148="Per-NIC count × rate",E157,E160)</f>
        <v>0</v>
      </c>
      <c r="I162" s="36"/>
    </row>
    <row r="164" customFormat="false" ht="25.5" hidden="false" customHeight="true" outlineLevel="0" collapsed="false">
      <c r="B164" s="4" t="s">
        <v>194</v>
      </c>
      <c r="C164" s="4"/>
      <c r="D164" s="4"/>
      <c r="E164" s="4"/>
      <c r="F164" s="4"/>
      <c r="G164" s="4"/>
      <c r="H164" s="4"/>
      <c r="I164" s="4"/>
    </row>
    <row r="165" customFormat="false" ht="31.5" hidden="false" customHeight="true" outlineLevel="0" collapsed="false">
      <c r="B165" s="16" t="s">
        <v>195</v>
      </c>
      <c r="C165" s="16"/>
      <c r="D165" s="16"/>
      <c r="E165" s="16"/>
      <c r="F165" s="16"/>
      <c r="G165" s="16"/>
      <c r="H165" s="16"/>
      <c r="I165" s="16"/>
    </row>
    <row r="166" customFormat="false" ht="21.75" hidden="false" customHeight="true" outlineLevel="0" collapsed="false">
      <c r="B166" s="22" t="s">
        <v>56</v>
      </c>
      <c r="C166" s="23" t="s">
        <v>196</v>
      </c>
      <c r="D166" s="23"/>
      <c r="E166" s="23"/>
      <c r="F166" s="17" t="s">
        <v>58</v>
      </c>
      <c r="G166" s="24" t="s">
        <v>197</v>
      </c>
      <c r="H166" s="24"/>
      <c r="I166" s="24"/>
    </row>
    <row r="168" customFormat="false" ht="21.75" hidden="false" customHeight="true" outlineLevel="0" collapsed="false">
      <c r="B168" s="25" t="s">
        <v>198</v>
      </c>
      <c r="C168" s="25"/>
      <c r="D168" s="25"/>
      <c r="E168" s="25"/>
      <c r="F168" s="25"/>
      <c r="G168" s="25"/>
      <c r="H168" s="25"/>
      <c r="I168" s="25"/>
    </row>
    <row r="169" customFormat="false" ht="27.75" hidden="false" customHeight="true" outlineLevel="0" collapsed="false">
      <c r="B169" s="26" t="s">
        <v>199</v>
      </c>
      <c r="C169" s="26" t="s">
        <v>200</v>
      </c>
      <c r="D169" s="26"/>
      <c r="E169" s="26" t="s">
        <v>76</v>
      </c>
      <c r="F169" s="26"/>
      <c r="G169" s="26" t="s">
        <v>163</v>
      </c>
      <c r="H169" s="27" t="s">
        <v>67</v>
      </c>
      <c r="I169" s="27"/>
    </row>
    <row r="170" customFormat="false" ht="19.5" hidden="false" customHeight="true" outlineLevel="0" collapsed="false">
      <c r="B170" s="7" t="s">
        <v>201</v>
      </c>
      <c r="C170" s="29" t="n">
        <v>0.08</v>
      </c>
      <c r="D170" s="28"/>
      <c r="E170" s="30" t="n">
        <f aca="false">C170*D170</f>
        <v>0</v>
      </c>
      <c r="F170" s="34"/>
      <c r="G170" s="12" t="s">
        <v>202</v>
      </c>
      <c r="H170" s="19"/>
      <c r="I170" s="19"/>
    </row>
    <row r="171" customFormat="false" ht="19.5" hidden="false" customHeight="true" outlineLevel="0" collapsed="false">
      <c r="B171" s="7" t="s">
        <v>203</v>
      </c>
      <c r="C171" s="29" t="n">
        <v>50</v>
      </c>
      <c r="D171" s="28"/>
      <c r="E171" s="30" t="n">
        <f aca="false">C171*D171</f>
        <v>0</v>
      </c>
      <c r="F171" s="34"/>
      <c r="G171" s="12" t="s">
        <v>204</v>
      </c>
      <c r="H171" s="19"/>
      <c r="I171" s="19"/>
    </row>
    <row r="172" customFormat="false" ht="21.75" hidden="false" customHeight="true" outlineLevel="0" collapsed="false">
      <c r="B172" s="31" t="s">
        <v>70</v>
      </c>
      <c r="C172" s="31"/>
      <c r="D172" s="31"/>
      <c r="E172" s="32" t="n">
        <f aca="false">SUM(E170:E171)</f>
        <v>0</v>
      </c>
      <c r="F172" s="20"/>
      <c r="G172" s="20"/>
      <c r="H172" s="20"/>
      <c r="I172" s="20"/>
    </row>
    <row r="174" customFormat="false" ht="21.75" hidden="false" customHeight="true" outlineLevel="0" collapsed="false">
      <c r="B174" s="25" t="s">
        <v>205</v>
      </c>
      <c r="C174" s="25"/>
      <c r="D174" s="25"/>
      <c r="E174" s="25"/>
      <c r="F174" s="25"/>
      <c r="G174" s="25"/>
      <c r="H174" s="25"/>
      <c r="I174" s="25"/>
    </row>
    <row r="175" customFormat="false" ht="21.75" hidden="false" customHeight="true" outlineLevel="0" collapsed="false">
      <c r="B175" s="17" t="s">
        <v>206</v>
      </c>
      <c r="C175" s="17"/>
      <c r="D175" s="17"/>
      <c r="E175" s="29"/>
      <c r="F175" s="19"/>
      <c r="G175" s="19"/>
      <c r="H175" s="19"/>
      <c r="I175" s="19"/>
    </row>
    <row r="177" customFormat="false" ht="24" hidden="false" customHeight="true" outlineLevel="0" collapsed="false">
      <c r="B177" s="35" t="s">
        <v>207</v>
      </c>
      <c r="C177" s="35"/>
      <c r="D177" s="35"/>
      <c r="E177" s="35"/>
      <c r="F177" s="36"/>
      <c r="G177" s="36"/>
      <c r="H177" s="37" t="n">
        <f aca="false">IF(C166="Detailed (kWh + rack rate)",E172,E175)</f>
        <v>0</v>
      </c>
      <c r="I177" s="36"/>
    </row>
    <row r="178" customFormat="false" ht="15" hidden="false" customHeight="true" outlineLevel="0" collapsed="false">
      <c r="F178" s="17" t="s">
        <v>58</v>
      </c>
      <c r="G178" s="24" t="s">
        <v>208</v>
      </c>
      <c r="H178" s="24"/>
      <c r="I178" s="24"/>
    </row>
    <row r="179" customFormat="false" ht="25.5" hidden="false" customHeight="true" outlineLevel="0" collapsed="false">
      <c r="B179" s="4" t="s">
        <v>209</v>
      </c>
      <c r="C179" s="4"/>
      <c r="D179" s="4"/>
      <c r="E179" s="4"/>
      <c r="F179" s="4"/>
      <c r="G179" s="4"/>
      <c r="H179" s="4"/>
      <c r="I179" s="4"/>
    </row>
    <row r="180" customFormat="false" ht="31.5" hidden="false" customHeight="true" outlineLevel="0" collapsed="false">
      <c r="B180" s="16" t="s">
        <v>210</v>
      </c>
      <c r="C180" s="16"/>
      <c r="D180" s="16"/>
      <c r="E180" s="16"/>
      <c r="F180" s="16"/>
      <c r="G180" s="16"/>
      <c r="H180" s="16"/>
      <c r="I180" s="16"/>
    </row>
    <row r="181" customFormat="false" ht="21.75" hidden="false" customHeight="true" outlineLevel="0" collapsed="false">
      <c r="B181" s="25" t="s">
        <v>211</v>
      </c>
      <c r="C181" s="25"/>
      <c r="D181" s="25"/>
      <c r="E181" s="25"/>
      <c r="F181" s="25"/>
      <c r="G181" s="25"/>
      <c r="H181" s="25"/>
      <c r="I181" s="25"/>
    </row>
    <row r="182" customFormat="false" ht="27.75" hidden="false" customHeight="true" outlineLevel="0" collapsed="false">
      <c r="B182" s="26" t="s">
        <v>212</v>
      </c>
      <c r="C182" s="26" t="s">
        <v>213</v>
      </c>
      <c r="D182" s="26" t="s">
        <v>214</v>
      </c>
      <c r="E182" s="26" t="s">
        <v>215</v>
      </c>
      <c r="F182" s="26" t="s">
        <v>216</v>
      </c>
      <c r="G182" s="26" t="s">
        <v>217</v>
      </c>
      <c r="H182" s="27" t="s">
        <v>67</v>
      </c>
      <c r="I182" s="27"/>
    </row>
    <row r="183" customFormat="false" ht="18" hidden="false" customHeight="true" outlineLevel="0" collapsed="false">
      <c r="B183" s="33"/>
      <c r="C183" s="33"/>
      <c r="D183" s="33"/>
      <c r="E183" s="33"/>
      <c r="F183" s="29" t="n">
        <v>0</v>
      </c>
      <c r="G183" s="33"/>
      <c r="H183" s="19"/>
      <c r="I183" s="19"/>
    </row>
    <row r="184" customFormat="false" ht="18" hidden="false" customHeight="true" outlineLevel="0" collapsed="false">
      <c r="B184" s="33"/>
      <c r="C184" s="33"/>
      <c r="D184" s="33"/>
      <c r="E184" s="33"/>
      <c r="F184" s="29" t="n">
        <v>0</v>
      </c>
      <c r="G184" s="33"/>
      <c r="H184" s="19"/>
      <c r="I184" s="19"/>
    </row>
    <row r="185" customFormat="false" ht="18" hidden="false" customHeight="true" outlineLevel="0" collapsed="false">
      <c r="B185" s="33"/>
      <c r="C185" s="33"/>
      <c r="D185" s="33"/>
      <c r="E185" s="33"/>
      <c r="F185" s="29" t="n">
        <v>0</v>
      </c>
      <c r="G185" s="33"/>
      <c r="H185" s="19"/>
      <c r="I185" s="19"/>
    </row>
    <row r="186" customFormat="false" ht="18" hidden="false" customHeight="true" outlineLevel="0" collapsed="false">
      <c r="B186" s="33"/>
      <c r="C186" s="33"/>
      <c r="D186" s="33"/>
      <c r="E186" s="33"/>
      <c r="F186" s="29" t="n">
        <v>0</v>
      </c>
      <c r="G186" s="33"/>
      <c r="H186" s="19"/>
      <c r="I186" s="19"/>
    </row>
    <row r="187" customFormat="false" ht="18" hidden="false" customHeight="true" outlineLevel="0" collapsed="false">
      <c r="B187" s="33"/>
      <c r="C187" s="33"/>
      <c r="D187" s="33"/>
      <c r="E187" s="33"/>
      <c r="F187" s="29" t="n">
        <v>0</v>
      </c>
      <c r="G187" s="33"/>
      <c r="H187" s="19"/>
      <c r="I187" s="19"/>
    </row>
    <row r="188" customFormat="false" ht="18" hidden="false" customHeight="true" outlineLevel="0" collapsed="false">
      <c r="B188" s="33"/>
      <c r="C188" s="33"/>
      <c r="D188" s="33"/>
      <c r="E188" s="33"/>
      <c r="F188" s="29" t="n">
        <v>0</v>
      </c>
      <c r="G188" s="33"/>
      <c r="H188" s="19"/>
      <c r="I188" s="19"/>
    </row>
    <row r="189" customFormat="false" ht="18" hidden="false" customHeight="true" outlineLevel="0" collapsed="false">
      <c r="B189" s="33"/>
      <c r="C189" s="33"/>
      <c r="D189" s="33"/>
      <c r="E189" s="33"/>
      <c r="F189" s="29" t="n">
        <v>0</v>
      </c>
      <c r="G189" s="33"/>
      <c r="H189" s="19"/>
      <c r="I189" s="19"/>
    </row>
    <row r="190" customFormat="false" ht="18" hidden="false" customHeight="true" outlineLevel="0" collapsed="false">
      <c r="B190" s="33"/>
      <c r="C190" s="33"/>
      <c r="D190" s="33"/>
      <c r="E190" s="33"/>
      <c r="F190" s="29" t="n">
        <v>0</v>
      </c>
      <c r="G190" s="33"/>
      <c r="H190" s="19"/>
      <c r="I190" s="19"/>
    </row>
    <row r="191" customFormat="false" ht="18" hidden="false" customHeight="true" outlineLevel="0" collapsed="false">
      <c r="B191" s="33"/>
      <c r="C191" s="33"/>
      <c r="D191" s="33"/>
      <c r="E191" s="33"/>
      <c r="F191" s="29" t="n">
        <v>0</v>
      </c>
      <c r="G191" s="33"/>
      <c r="H191" s="19"/>
      <c r="I191" s="19"/>
    </row>
    <row r="192" customFormat="false" ht="18" hidden="false" customHeight="true" outlineLevel="0" collapsed="false">
      <c r="B192" s="33"/>
      <c r="C192" s="33"/>
      <c r="D192" s="33"/>
      <c r="E192" s="33"/>
      <c r="F192" s="29" t="n">
        <v>0</v>
      </c>
      <c r="G192" s="33"/>
      <c r="H192" s="19"/>
      <c r="I192" s="19"/>
    </row>
    <row r="193" customFormat="false" ht="21.75" hidden="false" customHeight="true" outlineLevel="0" collapsed="false">
      <c r="B193" s="31" t="s">
        <v>218</v>
      </c>
      <c r="C193" s="31"/>
      <c r="D193" s="31"/>
      <c r="E193" s="31"/>
      <c r="F193" s="32" t="n">
        <f aca="false">SUM(F183:F192)</f>
        <v>0</v>
      </c>
      <c r="G193" s="20"/>
      <c r="H193" s="20"/>
      <c r="I193" s="20"/>
    </row>
    <row r="195" customFormat="false" ht="24" hidden="false" customHeight="true" outlineLevel="0" collapsed="false">
      <c r="B195" s="35" t="s">
        <v>219</v>
      </c>
      <c r="C195" s="35"/>
      <c r="D195" s="35"/>
      <c r="E195" s="35"/>
      <c r="F195" s="36"/>
      <c r="G195" s="36"/>
      <c r="H195" s="37" t="n">
        <f aca="false">F193</f>
        <v>0</v>
      </c>
      <c r="I195" s="36"/>
    </row>
    <row r="198" customFormat="false" ht="33.75" hidden="false" customHeight="true" outlineLevel="0" collapsed="false">
      <c r="B198" s="41" t="s">
        <v>220</v>
      </c>
      <c r="C198" s="41"/>
      <c r="D198" s="41"/>
      <c r="E198" s="41"/>
      <c r="F198" s="41"/>
      <c r="G198" s="41"/>
      <c r="H198" s="41"/>
      <c r="I198" s="41"/>
    </row>
    <row r="199" customFormat="false" ht="30" hidden="false" customHeight="true" outlineLevel="0" collapsed="false">
      <c r="B199" s="42" t="s">
        <v>221</v>
      </c>
      <c r="C199" s="42"/>
      <c r="D199" s="42"/>
      <c r="E199" s="42"/>
      <c r="F199" s="42"/>
      <c r="G199" s="42"/>
      <c r="H199" s="43" t="n">
        <f aca="false">H34 + H57 + H88 + H113 + H128 + H144 + H162 + H177 + H195</f>
        <v>0</v>
      </c>
      <c r="I199" s="44"/>
    </row>
    <row r="200" customFormat="false" ht="30" hidden="false" customHeight="true" outlineLevel="0" collapsed="false">
      <c r="B200" s="45" t="s">
        <v>222</v>
      </c>
      <c r="C200" s="45"/>
      <c r="D200" s="45"/>
      <c r="E200" s="45"/>
      <c r="F200" s="45"/>
      <c r="G200" s="45"/>
      <c r="H200" s="46" t="n">
        <f aca="false">H199*12</f>
        <v>0</v>
      </c>
      <c r="I200" s="47"/>
    </row>
  </sheetData>
  <mergeCells count="174">
    <mergeCell ref="B2:I2"/>
    <mergeCell ref="B10:I10"/>
    <mergeCell ref="B11:I11"/>
    <mergeCell ref="C12:E12"/>
    <mergeCell ref="G12:I12"/>
    <mergeCell ref="B14:I14"/>
    <mergeCell ref="H15:I15"/>
    <mergeCell ref="H16:I16"/>
    <mergeCell ref="H17:I17"/>
    <mergeCell ref="B18:F18"/>
    <mergeCell ref="H18:I18"/>
    <mergeCell ref="B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B32:E32"/>
    <mergeCell ref="B34:E34"/>
    <mergeCell ref="B36:I36"/>
    <mergeCell ref="B37:I37"/>
    <mergeCell ref="C38:E38"/>
    <mergeCell ref="G38:I38"/>
    <mergeCell ref="B40:I40"/>
    <mergeCell ref="H41:I41"/>
    <mergeCell ref="H42:I42"/>
    <mergeCell ref="H43:I43"/>
    <mergeCell ref="H44:I44"/>
    <mergeCell ref="B45:F45"/>
    <mergeCell ref="H45:I45"/>
    <mergeCell ref="B47:I47"/>
    <mergeCell ref="H48:I48"/>
    <mergeCell ref="H49:I49"/>
    <mergeCell ref="H50:I50"/>
    <mergeCell ref="H51:I51"/>
    <mergeCell ref="H52:I52"/>
    <mergeCell ref="H53:I53"/>
    <mergeCell ref="H54:I54"/>
    <mergeCell ref="B55:E55"/>
    <mergeCell ref="B57:E57"/>
    <mergeCell ref="B59:I59"/>
    <mergeCell ref="B60:I60"/>
    <mergeCell ref="C61:E61"/>
    <mergeCell ref="G61:I61"/>
    <mergeCell ref="B63:I63"/>
    <mergeCell ref="B64:F64"/>
    <mergeCell ref="H64:I64"/>
    <mergeCell ref="B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B86:E86"/>
    <mergeCell ref="B88:E88"/>
    <mergeCell ref="B90:I90"/>
    <mergeCell ref="B91:I91"/>
    <mergeCell ref="C92:E92"/>
    <mergeCell ref="G92:I92"/>
    <mergeCell ref="B94:I94"/>
    <mergeCell ref="B95:F95"/>
    <mergeCell ref="H95:I95"/>
    <mergeCell ref="B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B111:D111"/>
    <mergeCell ref="B113:E113"/>
    <mergeCell ref="B115:I115"/>
    <mergeCell ref="B116:I116"/>
    <mergeCell ref="C117:E117"/>
    <mergeCell ref="G117:I117"/>
    <mergeCell ref="B119:I119"/>
    <mergeCell ref="H120:I120"/>
    <mergeCell ref="H121:I121"/>
    <mergeCell ref="H122:I122"/>
    <mergeCell ref="B123:E123"/>
    <mergeCell ref="B125:I125"/>
    <mergeCell ref="B126:E126"/>
    <mergeCell ref="G126:I126"/>
    <mergeCell ref="B128:E128"/>
    <mergeCell ref="B130:I130"/>
    <mergeCell ref="B131:I131"/>
    <mergeCell ref="C132:E132"/>
    <mergeCell ref="G132:I132"/>
    <mergeCell ref="B134:I134"/>
    <mergeCell ref="H135:I135"/>
    <mergeCell ref="H136:I136"/>
    <mergeCell ref="H137:I137"/>
    <mergeCell ref="H138:I138"/>
    <mergeCell ref="B139:E139"/>
    <mergeCell ref="B141:I141"/>
    <mergeCell ref="B142:E142"/>
    <mergeCell ref="G142:I142"/>
    <mergeCell ref="B144:E144"/>
    <mergeCell ref="B146:I146"/>
    <mergeCell ref="B147:I147"/>
    <mergeCell ref="C148:E148"/>
    <mergeCell ref="G148:I148"/>
    <mergeCell ref="B150:I150"/>
    <mergeCell ref="H151:I151"/>
    <mergeCell ref="H152:I152"/>
    <mergeCell ref="H153:I153"/>
    <mergeCell ref="H154:I154"/>
    <mergeCell ref="H155:I155"/>
    <mergeCell ref="H156:I156"/>
    <mergeCell ref="B157:D157"/>
    <mergeCell ref="B159:I159"/>
    <mergeCell ref="B160:D160"/>
    <mergeCell ref="F160:I160"/>
    <mergeCell ref="B162:E162"/>
    <mergeCell ref="B164:I164"/>
    <mergeCell ref="B165:I165"/>
    <mergeCell ref="C166:E166"/>
    <mergeCell ref="G166:I166"/>
    <mergeCell ref="B168:I168"/>
    <mergeCell ref="H169:I169"/>
    <mergeCell ref="H170:I170"/>
    <mergeCell ref="H171:I171"/>
    <mergeCell ref="B172:D172"/>
    <mergeCell ref="B174:I174"/>
    <mergeCell ref="B175:D175"/>
    <mergeCell ref="F175:I175"/>
    <mergeCell ref="B177:E177"/>
    <mergeCell ref="G178:I178"/>
    <mergeCell ref="B179:I179"/>
    <mergeCell ref="B180:I180"/>
    <mergeCell ref="B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B193:E193"/>
    <mergeCell ref="B195:E195"/>
    <mergeCell ref="B198:I198"/>
    <mergeCell ref="B199:G199"/>
    <mergeCell ref="B200:G200"/>
  </mergeCells>
  <dataValidations count="11">
    <dataValidation allowBlank="true" errorStyle="stop" operator="between" showDropDown="false" showErrorMessage="false" showInputMessage="false" sqref="C7" type="list">
      <formula1>"Edit for All Datacenters,Edit for Specific Datacenter"</formula1>
      <formula2>0</formula2>
    </dataValidation>
    <dataValidation allowBlank="true" errorStyle="stop" operator="between" showDropDown="false" showErrorMessage="false" showInputMessage="false" sqref="C12" type="list">
      <formula1>"Average cost for all servers,Granular cost per server (itemized below)"</formula1>
      <formula2>0</formula2>
    </dataValidation>
    <dataValidation allowBlank="true" errorStyle="stop" operator="between" showDropDown="false" showErrorMessage="false" showInputMessage="false" sqref="C38" type="list">
      <formula1>"Average cost for all storage systems,Granular cost per storage array"</formula1>
      <formula2>0</formula2>
    </dataValidation>
    <dataValidation allowBlank="true" errorStyle="stop" operator="between" showDropDown="false" showErrorMessage="false" showInputMessage="false" sqref="C61" type="list">
      <formula1>"Aggregate monthly license spend,Itemized per license SKU"</formula1>
      <formula2>0</formula2>
    </dataValidation>
    <dataValidation allowBlank="true" errorStyle="stop" operator="between" showDropDown="false" showErrorMessage="false" showInputMessage="false" sqref="C92" type="list">
      <formula1>"Aggregate monthly application spend,Itemized per application"</formula1>
      <formula2>0</formula2>
    </dataValidation>
    <dataValidation allowBlank="true" errorStyle="stop" operator="between" showDropDown="false" showErrorMessage="false" showInputMessage="false" sqref="C117" type="list">
      <formula1>"Percentage-based (recommended),Direct monthly expense"</formula1>
      <formula2>0</formula2>
    </dataValidation>
    <dataValidation allowBlank="true" errorStyle="stop" operator="between" showDropDown="false" showErrorMessage="false" showInputMessage="false" sqref="C132" type="list">
      <formula1>"Detailed (hourly rate × hours per category),Total monthly labor spend"</formula1>
      <formula2>0</formula2>
    </dataValidation>
    <dataValidation allowBlank="true" errorStyle="stop" operator="between" showDropDown="false" showErrorMessage="false" showInputMessage="false" sqref="C148" type="list">
      <formula1>"Per-NIC count × rate,Total monthly network expense"</formula1>
      <formula2>0</formula2>
    </dataValidation>
    <dataValidation allowBlank="true" errorStyle="stop" operator="between" showDropDown="false" showErrorMessage="false" showInputMessage="false" sqref="C166" type="list">
      <formula1>"Detailed (kWh + rack rate),Total monthly facilities expense"</formula1>
      <formula2>0</formula2>
    </dataValidation>
    <dataValidation allowBlank="true" errorStyle="stop" operator="between" showDropDown="false" showErrorMessage="false" showInputMessage="false" sqref="C183:C192" type="list">
      <formula1>"All,Datacenter,Cluster,Host,VM,Department,Program"</formula1>
      <formula2>0</formula2>
    </dataValidation>
    <dataValidation allowBlank="true" errorStyle="stop" operator="between" showDropDown="false" showErrorMessage="false" showInputMessage="false" sqref="G183:G192" type="list">
      <formula1>"Monthly,Quarterly,Annual,One-time"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2"/>
    <col collapsed="false" customWidth="true" hidden="false" outlineLevel="0" max="6" min="6" style="1" width="3"/>
  </cols>
  <sheetData>
    <row r="2" customFormat="false" ht="33.75" hidden="false" customHeight="true" outlineLevel="0" collapsed="false">
      <c r="B2" s="2" t="s">
        <v>229</v>
      </c>
      <c r="C2" s="2"/>
      <c r="D2" s="2"/>
      <c r="E2" s="2"/>
    </row>
    <row r="3" customFormat="false" ht="27.75" hidden="false" customHeight="true" outlineLevel="0" collapsed="false">
      <c r="B3" s="50" t="s">
        <v>230</v>
      </c>
      <c r="C3" s="50"/>
      <c r="D3" s="50"/>
      <c r="E3" s="50"/>
    </row>
    <row r="5" customFormat="false" ht="30" hidden="false" customHeight="true" outlineLevel="0" collapsed="false">
      <c r="B5" s="26" t="s">
        <v>231</v>
      </c>
      <c r="C5" s="26" t="s">
        <v>36</v>
      </c>
      <c r="D5" s="26" t="s">
        <v>38</v>
      </c>
      <c r="E5" s="26" t="s">
        <v>232</v>
      </c>
    </row>
    <row r="6" customFormat="false" ht="21.75" hidden="false" customHeight="true" outlineLevel="0" collapsed="false">
      <c r="B6" s="15" t="s">
        <v>233</v>
      </c>
      <c r="C6" s="51" t="n">
        <f aca="false">'All Datacenters'!H33</f>
        <v>0</v>
      </c>
      <c r="D6" s="51" t="n">
        <f aca="false">'Datacenter-1'!H34</f>
        <v>0</v>
      </c>
      <c r="E6" s="37" t="n">
        <f aca="false">SUM(C6:D6)</f>
        <v>0</v>
      </c>
    </row>
    <row r="7" customFormat="false" ht="21.75" hidden="false" customHeight="true" outlineLevel="0" collapsed="false">
      <c r="B7" s="15" t="s">
        <v>234</v>
      </c>
      <c r="C7" s="51" t="n">
        <f aca="false">'All Datacenters'!H56</f>
        <v>0</v>
      </c>
      <c r="D7" s="51" t="n">
        <f aca="false">'Datacenter-1'!H57</f>
        <v>0</v>
      </c>
      <c r="E7" s="37" t="n">
        <f aca="false">SUM(C7:D7)</f>
        <v>0</v>
      </c>
    </row>
    <row r="8" customFormat="false" ht="21.75" hidden="false" customHeight="true" outlineLevel="0" collapsed="false">
      <c r="B8" s="15" t="s">
        <v>235</v>
      </c>
      <c r="C8" s="51" t="n">
        <f aca="false">'All Datacenters'!H87</f>
        <v>0</v>
      </c>
      <c r="D8" s="51" t="n">
        <f aca="false">'Datacenter-1'!H88</f>
        <v>0</v>
      </c>
      <c r="E8" s="37" t="n">
        <f aca="false">SUM(C8:D8)</f>
        <v>0</v>
      </c>
    </row>
    <row r="9" customFormat="false" ht="21.75" hidden="false" customHeight="true" outlineLevel="0" collapsed="false">
      <c r="B9" s="15" t="s">
        <v>236</v>
      </c>
      <c r="C9" s="51" t="n">
        <f aca="false">'All Datacenters'!H112</f>
        <v>0</v>
      </c>
      <c r="D9" s="51" t="n">
        <f aca="false">'Datacenter-1'!H113</f>
        <v>0</v>
      </c>
      <c r="E9" s="37" t="n">
        <f aca="false">SUM(C9:D9)</f>
        <v>0</v>
      </c>
    </row>
    <row r="10" customFormat="false" ht="21.75" hidden="false" customHeight="true" outlineLevel="0" collapsed="false">
      <c r="B10" s="15" t="s">
        <v>237</v>
      </c>
      <c r="C10" s="51" t="n">
        <f aca="false">'All Datacenters'!H127</f>
        <v>0</v>
      </c>
      <c r="D10" s="51" t="n">
        <f aca="false">'Datacenter-1'!H128</f>
        <v>0</v>
      </c>
      <c r="E10" s="37" t="n">
        <f aca="false">SUM(C10:D10)</f>
        <v>0</v>
      </c>
    </row>
    <row r="11" customFormat="false" ht="21.75" hidden="false" customHeight="true" outlineLevel="0" collapsed="false">
      <c r="B11" s="15" t="s">
        <v>238</v>
      </c>
      <c r="C11" s="51" t="n">
        <f aca="false">'All Datacenters'!H143</f>
        <v>0</v>
      </c>
      <c r="D11" s="51" t="n">
        <f aca="false">'Datacenter-1'!H144</f>
        <v>0</v>
      </c>
      <c r="E11" s="37" t="n">
        <f aca="false">SUM(C11:D11)</f>
        <v>0</v>
      </c>
    </row>
    <row r="12" customFormat="false" ht="21.75" hidden="false" customHeight="true" outlineLevel="0" collapsed="false">
      <c r="B12" s="15" t="s">
        <v>239</v>
      </c>
      <c r="C12" s="51" t="n">
        <f aca="false">'All Datacenters'!H161</f>
        <v>0</v>
      </c>
      <c r="D12" s="51" t="n">
        <f aca="false">'Datacenter-1'!H162</f>
        <v>0</v>
      </c>
      <c r="E12" s="37" t="n">
        <f aca="false">SUM(C12:D12)</f>
        <v>0</v>
      </c>
    </row>
    <row r="13" customFormat="false" ht="21.75" hidden="false" customHeight="true" outlineLevel="0" collapsed="false">
      <c r="B13" s="15" t="s">
        <v>240</v>
      </c>
      <c r="C13" s="51" t="n">
        <f aca="false">'All Datacenters'!H176</f>
        <v>0</v>
      </c>
      <c r="D13" s="51" t="n">
        <f aca="false">'Datacenter-1'!H177</f>
        <v>0</v>
      </c>
      <c r="E13" s="37" t="n">
        <f aca="false">SUM(C13:D13)</f>
        <v>0</v>
      </c>
    </row>
    <row r="14" customFormat="false" ht="21.75" hidden="false" customHeight="true" outlineLevel="0" collapsed="false">
      <c r="B14" s="15" t="s">
        <v>241</v>
      </c>
      <c r="C14" s="51" t="n">
        <f aca="false">'All Datacenters'!H194</f>
        <v>0</v>
      </c>
      <c r="D14" s="51" t="n">
        <f aca="false">'Datacenter-1'!H195</f>
        <v>0</v>
      </c>
      <c r="E14" s="37" t="n">
        <f aca="false">SUM(C14:D14)</f>
        <v>0</v>
      </c>
    </row>
    <row r="15" customFormat="false" ht="27.75" hidden="false" customHeight="true" outlineLevel="0" collapsed="false">
      <c r="B15" s="52" t="s">
        <v>242</v>
      </c>
      <c r="C15" s="53" t="n">
        <f aca="false">'All Datacenters'!H198</f>
        <v>0</v>
      </c>
      <c r="D15" s="53" t="n">
        <f aca="false">'Datacenter-1'!H199</f>
        <v>0</v>
      </c>
      <c r="E15" s="54" t="n">
        <f aca="false">SUM(C15:D15)</f>
        <v>0</v>
      </c>
    </row>
    <row r="16" customFormat="false" ht="25.5" hidden="false" customHeight="true" outlineLevel="0" collapsed="false">
      <c r="B16" s="52" t="s">
        <v>243</v>
      </c>
      <c r="C16" s="55" t="n">
        <f aca="false">C15*12</f>
        <v>0</v>
      </c>
      <c r="D16" s="55" t="n">
        <f aca="false">D15*12</f>
        <v>0</v>
      </c>
      <c r="E16" s="56" t="n">
        <f aca="false">E15*12</f>
        <v>0</v>
      </c>
    </row>
    <row r="19" customFormat="false" ht="24" hidden="false" customHeight="true" outlineLevel="0" collapsed="false">
      <c r="B19" s="4" t="s">
        <v>244</v>
      </c>
      <c r="C19" s="4"/>
      <c r="D19" s="4"/>
      <c r="E19" s="4"/>
    </row>
    <row r="20" customFormat="false" ht="69.75" hidden="false" customHeight="true" outlineLevel="0" collapsed="false">
      <c r="B20" s="57" t="s">
        <v>245</v>
      </c>
      <c r="C20" s="57"/>
      <c r="D20" s="57"/>
      <c r="E20" s="57"/>
    </row>
  </sheetData>
  <mergeCells count="4">
    <mergeCell ref="B2:E2"/>
    <mergeCell ref="B3:E3"/>
    <mergeCell ref="B19:E1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2026-04-20T17:47:27Z</dcterms:created>
  <dc:creator>openpyxl</dc:creator>
  <dc:description/>
  <dc:language>en-US</dc:language>
  <cp:lastModifiedBy>Jeremy Forguson</cp:lastModifiedBy>
  <dcterms:modified xsi:type="dcterms:W3CDTF">2026-04-20T18:06:17Z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